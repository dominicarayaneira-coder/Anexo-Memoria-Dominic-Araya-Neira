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delcochile-my.sharepoint.com/personal/daray054_codelco_cl/Documents/"/>
    </mc:Choice>
  </mc:AlternateContent>
  <xr:revisionPtr revIDLastSave="0" documentId="8_{8911C125-1508-4A24-BC21-B8371090C1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Sheet1!$A$1:$F$138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V3" i="1"/>
  <c r="U3" i="1"/>
  <c r="T3" i="1"/>
  <c r="S3" i="1"/>
  <c r="W135" i="1" l="1"/>
  <c r="X135" i="1" s="1"/>
  <c r="Y135" i="1" s="1"/>
  <c r="W127" i="1"/>
  <c r="X127" i="1" s="1"/>
  <c r="Y127" i="1" s="1"/>
  <c r="W119" i="1"/>
  <c r="X119" i="1" s="1"/>
  <c r="Y119" i="1" s="1"/>
  <c r="W111" i="1"/>
  <c r="X111" i="1" s="1"/>
  <c r="Y111" i="1" s="1"/>
  <c r="W31" i="1"/>
  <c r="X31" i="1" s="1"/>
  <c r="Y31" i="1" s="1"/>
  <c r="W15" i="1"/>
  <c r="X15" i="1" s="1"/>
  <c r="Y15" i="1" s="1"/>
  <c r="W103" i="1"/>
  <c r="X103" i="1" s="1"/>
  <c r="Y103" i="1" s="1"/>
  <c r="W95" i="1"/>
  <c r="X95" i="1" s="1"/>
  <c r="Y95" i="1" s="1"/>
  <c r="W87" i="1"/>
  <c r="X87" i="1" s="1"/>
  <c r="Y87" i="1" s="1"/>
  <c r="W79" i="1"/>
  <c r="X79" i="1" s="1"/>
  <c r="Y79" i="1" s="1"/>
  <c r="W71" i="1"/>
  <c r="X71" i="1" s="1"/>
  <c r="Y71" i="1" s="1"/>
  <c r="W63" i="1"/>
  <c r="X63" i="1" s="1"/>
  <c r="Y63" i="1" s="1"/>
  <c r="W55" i="1"/>
  <c r="X55" i="1" s="1"/>
  <c r="Y55" i="1" s="1"/>
  <c r="W47" i="1"/>
  <c r="X47" i="1" s="1"/>
  <c r="Y47" i="1" s="1"/>
  <c r="W39" i="1"/>
  <c r="X39" i="1" s="1"/>
  <c r="Y39" i="1" s="1"/>
  <c r="W23" i="1"/>
  <c r="X23" i="1" s="1"/>
  <c r="Y23" i="1" s="1"/>
  <c r="W7" i="1"/>
  <c r="X7" i="1" s="1"/>
  <c r="Y7" i="1" s="1"/>
  <c r="W134" i="1"/>
  <c r="X134" i="1" s="1"/>
  <c r="Y134" i="1" s="1"/>
  <c r="W126" i="1"/>
  <c r="X126" i="1" s="1"/>
  <c r="Y126" i="1" s="1"/>
  <c r="W118" i="1"/>
  <c r="X118" i="1" s="1"/>
  <c r="Y118" i="1" s="1"/>
  <c r="W110" i="1"/>
  <c r="X110" i="1" s="1"/>
  <c r="Y110" i="1" s="1"/>
  <c r="W102" i="1"/>
  <c r="X102" i="1" s="1"/>
  <c r="Y102" i="1" s="1"/>
  <c r="W94" i="1"/>
  <c r="X94" i="1" s="1"/>
  <c r="Y94" i="1" s="1"/>
  <c r="W86" i="1"/>
  <c r="X86" i="1" s="1"/>
  <c r="Y86" i="1" s="1"/>
  <c r="W70" i="1"/>
  <c r="X70" i="1" s="1"/>
  <c r="Y70" i="1" s="1"/>
  <c r="W62" i="1"/>
  <c r="X62" i="1" s="1"/>
  <c r="Y62" i="1" s="1"/>
  <c r="W54" i="1"/>
  <c r="X54" i="1" s="1"/>
  <c r="Y54" i="1" s="1"/>
  <c r="W46" i="1"/>
  <c r="X46" i="1" s="1"/>
  <c r="Y46" i="1" s="1"/>
  <c r="W30" i="1"/>
  <c r="X30" i="1" s="1"/>
  <c r="Y30" i="1" s="1"/>
  <c r="W38" i="1"/>
  <c r="X38" i="1" s="1"/>
  <c r="Y38" i="1" s="1"/>
  <c r="W78" i="1"/>
  <c r="X78" i="1" s="1"/>
  <c r="Y78" i="1" s="1"/>
  <c r="W6" i="1"/>
  <c r="X6" i="1" s="1"/>
  <c r="Y6" i="1" s="1"/>
  <c r="W22" i="1"/>
  <c r="X22" i="1" s="1"/>
  <c r="Y22" i="1" s="1"/>
  <c r="W14" i="1"/>
  <c r="X14" i="1" s="1"/>
  <c r="Y14" i="1" s="1"/>
  <c r="W133" i="1"/>
  <c r="X133" i="1" s="1"/>
  <c r="Y133" i="1" s="1"/>
  <c r="W93" i="1"/>
  <c r="X93" i="1" s="1"/>
  <c r="Y93" i="1" s="1"/>
  <c r="W77" i="1"/>
  <c r="X77" i="1" s="1"/>
  <c r="Y77" i="1" s="1"/>
  <c r="W61" i="1"/>
  <c r="X61" i="1" s="1"/>
  <c r="Y61" i="1" s="1"/>
  <c r="W53" i="1"/>
  <c r="X53" i="1" s="1"/>
  <c r="Y53" i="1" s="1"/>
  <c r="W29" i="1"/>
  <c r="X29" i="1" s="1"/>
  <c r="Y29" i="1" s="1"/>
  <c r="W5" i="1"/>
  <c r="X5" i="1" s="1"/>
  <c r="Y5" i="1" s="1"/>
  <c r="W132" i="1"/>
  <c r="X132" i="1" s="1"/>
  <c r="Y132" i="1" s="1"/>
  <c r="W124" i="1"/>
  <c r="X124" i="1" s="1"/>
  <c r="Y124" i="1" s="1"/>
  <c r="W116" i="1"/>
  <c r="X116" i="1" s="1"/>
  <c r="Y116" i="1" s="1"/>
  <c r="W108" i="1"/>
  <c r="X108" i="1" s="1"/>
  <c r="Y108" i="1" s="1"/>
  <c r="W100" i="1"/>
  <c r="X100" i="1" s="1"/>
  <c r="Y100" i="1" s="1"/>
  <c r="W92" i="1"/>
  <c r="X92" i="1" s="1"/>
  <c r="Y92" i="1" s="1"/>
  <c r="W84" i="1"/>
  <c r="X84" i="1" s="1"/>
  <c r="Y84" i="1" s="1"/>
  <c r="W76" i="1"/>
  <c r="X76" i="1" s="1"/>
  <c r="Y76" i="1" s="1"/>
  <c r="W68" i="1"/>
  <c r="X68" i="1" s="1"/>
  <c r="Y68" i="1" s="1"/>
  <c r="W60" i="1"/>
  <c r="X60" i="1" s="1"/>
  <c r="Y60" i="1" s="1"/>
  <c r="W52" i="1"/>
  <c r="X52" i="1" s="1"/>
  <c r="Y52" i="1" s="1"/>
  <c r="W44" i="1"/>
  <c r="X44" i="1" s="1"/>
  <c r="Y44" i="1" s="1"/>
  <c r="W36" i="1"/>
  <c r="X36" i="1" s="1"/>
  <c r="Y36" i="1" s="1"/>
  <c r="W28" i="1"/>
  <c r="X28" i="1" s="1"/>
  <c r="Y28" i="1" s="1"/>
  <c r="W20" i="1"/>
  <c r="X20" i="1" s="1"/>
  <c r="Y20" i="1" s="1"/>
  <c r="W12" i="1"/>
  <c r="X12" i="1" s="1"/>
  <c r="Y12" i="1" s="1"/>
  <c r="W4" i="1"/>
  <c r="X4" i="1" s="1"/>
  <c r="Y4" i="1" s="1"/>
  <c r="W85" i="1"/>
  <c r="X85" i="1" s="1"/>
  <c r="Y85" i="1" s="1"/>
  <c r="W13" i="1"/>
  <c r="X13" i="1" s="1"/>
  <c r="Y13" i="1" s="1"/>
  <c r="W117" i="1"/>
  <c r="X117" i="1" s="1"/>
  <c r="Y117" i="1" s="1"/>
  <c r="W37" i="1"/>
  <c r="X37" i="1" s="1"/>
  <c r="Y37" i="1" s="1"/>
  <c r="W125" i="1"/>
  <c r="X125" i="1" s="1"/>
  <c r="Y125" i="1" s="1"/>
  <c r="W101" i="1"/>
  <c r="X101" i="1" s="1"/>
  <c r="Y101" i="1" s="1"/>
  <c r="W69" i="1"/>
  <c r="X69" i="1" s="1"/>
  <c r="Y69" i="1" s="1"/>
  <c r="W45" i="1"/>
  <c r="X45" i="1" s="1"/>
  <c r="Y45" i="1" s="1"/>
  <c r="W136" i="1"/>
  <c r="X136" i="1" s="1"/>
  <c r="Y136" i="1" s="1"/>
  <c r="W128" i="1"/>
  <c r="X128" i="1" s="1"/>
  <c r="Y128" i="1" s="1"/>
  <c r="W120" i="1"/>
  <c r="X120" i="1" s="1"/>
  <c r="Y120" i="1" s="1"/>
  <c r="W112" i="1"/>
  <c r="X112" i="1" s="1"/>
  <c r="Y112" i="1" s="1"/>
  <c r="W104" i="1"/>
  <c r="X104" i="1" s="1"/>
  <c r="Y104" i="1" s="1"/>
  <c r="W96" i="1"/>
  <c r="X96" i="1" s="1"/>
  <c r="Y96" i="1" s="1"/>
  <c r="W88" i="1"/>
  <c r="X88" i="1" s="1"/>
  <c r="Y88" i="1" s="1"/>
  <c r="W80" i="1"/>
  <c r="X80" i="1" s="1"/>
  <c r="Y80" i="1" s="1"/>
  <c r="W72" i="1"/>
  <c r="X72" i="1" s="1"/>
  <c r="Y72" i="1" s="1"/>
  <c r="W64" i="1"/>
  <c r="X64" i="1" s="1"/>
  <c r="Y64" i="1" s="1"/>
  <c r="W56" i="1"/>
  <c r="X56" i="1" s="1"/>
  <c r="Y56" i="1" s="1"/>
  <c r="W48" i="1"/>
  <c r="X48" i="1" s="1"/>
  <c r="Y48" i="1" s="1"/>
  <c r="W40" i="1"/>
  <c r="X40" i="1" s="1"/>
  <c r="Y40" i="1" s="1"/>
  <c r="W32" i="1"/>
  <c r="X32" i="1" s="1"/>
  <c r="Y32" i="1" s="1"/>
  <c r="W24" i="1"/>
  <c r="X24" i="1" s="1"/>
  <c r="Y24" i="1" s="1"/>
  <c r="W16" i="1"/>
  <c r="X16" i="1" s="1"/>
  <c r="Y16" i="1" s="1"/>
  <c r="W8" i="1"/>
  <c r="X8" i="1" s="1"/>
  <c r="Y8" i="1" s="1"/>
  <c r="W109" i="1"/>
  <c r="X109" i="1" s="1"/>
  <c r="Y109" i="1" s="1"/>
  <c r="W21" i="1"/>
  <c r="X21" i="1" s="1"/>
  <c r="Y21" i="1" s="1"/>
  <c r="W131" i="1"/>
  <c r="X131" i="1" s="1"/>
  <c r="Y131" i="1" s="1"/>
  <c r="W123" i="1"/>
  <c r="X123" i="1" s="1"/>
  <c r="Y123" i="1" s="1"/>
  <c r="W115" i="1"/>
  <c r="X115" i="1" s="1"/>
  <c r="Y115" i="1" s="1"/>
  <c r="W107" i="1"/>
  <c r="X107" i="1" s="1"/>
  <c r="Y107" i="1" s="1"/>
  <c r="W99" i="1"/>
  <c r="X99" i="1" s="1"/>
  <c r="Y99" i="1" s="1"/>
  <c r="W91" i="1"/>
  <c r="X91" i="1" s="1"/>
  <c r="Y91" i="1" s="1"/>
  <c r="W83" i="1"/>
  <c r="X83" i="1" s="1"/>
  <c r="Y83" i="1" s="1"/>
  <c r="W75" i="1"/>
  <c r="X75" i="1" s="1"/>
  <c r="Y75" i="1" s="1"/>
  <c r="W67" i="1"/>
  <c r="X67" i="1" s="1"/>
  <c r="Y67" i="1" s="1"/>
  <c r="W59" i="1"/>
  <c r="X59" i="1" s="1"/>
  <c r="Y59" i="1" s="1"/>
  <c r="W51" i="1"/>
  <c r="X51" i="1" s="1"/>
  <c r="Y51" i="1" s="1"/>
  <c r="W43" i="1"/>
  <c r="X43" i="1" s="1"/>
  <c r="Y43" i="1" s="1"/>
  <c r="W35" i="1"/>
  <c r="X35" i="1" s="1"/>
  <c r="Y35" i="1" s="1"/>
  <c r="W27" i="1"/>
  <c r="X27" i="1" s="1"/>
  <c r="Y27" i="1" s="1"/>
  <c r="W19" i="1"/>
  <c r="X19" i="1" s="1"/>
  <c r="Y19" i="1" s="1"/>
  <c r="W11" i="1"/>
  <c r="X11" i="1" s="1"/>
  <c r="Y11" i="1" s="1"/>
  <c r="W138" i="1"/>
  <c r="X138" i="1" s="1"/>
  <c r="Y138" i="1" s="1"/>
  <c r="W130" i="1"/>
  <c r="X130" i="1" s="1"/>
  <c r="Y130" i="1" s="1"/>
  <c r="W122" i="1"/>
  <c r="X122" i="1" s="1"/>
  <c r="Y122" i="1" s="1"/>
  <c r="W114" i="1"/>
  <c r="X114" i="1" s="1"/>
  <c r="Y114" i="1" s="1"/>
  <c r="W106" i="1"/>
  <c r="X106" i="1" s="1"/>
  <c r="Y106" i="1" s="1"/>
  <c r="W98" i="1"/>
  <c r="X98" i="1" s="1"/>
  <c r="Y98" i="1" s="1"/>
  <c r="W90" i="1"/>
  <c r="X90" i="1" s="1"/>
  <c r="Y90" i="1" s="1"/>
  <c r="W82" i="1"/>
  <c r="X82" i="1" s="1"/>
  <c r="Y82" i="1" s="1"/>
  <c r="W74" i="1"/>
  <c r="X74" i="1" s="1"/>
  <c r="Y74" i="1" s="1"/>
  <c r="W66" i="1"/>
  <c r="X66" i="1" s="1"/>
  <c r="Y66" i="1" s="1"/>
  <c r="W58" i="1"/>
  <c r="X58" i="1" s="1"/>
  <c r="Y58" i="1" s="1"/>
  <c r="W50" i="1"/>
  <c r="X50" i="1" s="1"/>
  <c r="Y50" i="1" s="1"/>
  <c r="W42" i="1"/>
  <c r="X42" i="1" s="1"/>
  <c r="Y42" i="1" s="1"/>
  <c r="W34" i="1"/>
  <c r="X34" i="1" s="1"/>
  <c r="Y34" i="1" s="1"/>
  <c r="W26" i="1"/>
  <c r="X26" i="1" s="1"/>
  <c r="Y26" i="1" s="1"/>
  <c r="W18" i="1"/>
  <c r="X18" i="1" s="1"/>
  <c r="Y18" i="1" s="1"/>
  <c r="W10" i="1"/>
  <c r="X10" i="1" s="1"/>
  <c r="Y10" i="1" s="1"/>
  <c r="W137" i="1"/>
  <c r="X137" i="1" s="1"/>
  <c r="Y137" i="1" s="1"/>
  <c r="W129" i="1"/>
  <c r="X129" i="1" s="1"/>
  <c r="Y129" i="1" s="1"/>
  <c r="W121" i="1"/>
  <c r="X121" i="1" s="1"/>
  <c r="Y121" i="1" s="1"/>
  <c r="W113" i="1"/>
  <c r="X113" i="1" s="1"/>
  <c r="Y113" i="1" s="1"/>
  <c r="W105" i="1"/>
  <c r="X105" i="1" s="1"/>
  <c r="Y105" i="1" s="1"/>
  <c r="W97" i="1"/>
  <c r="X97" i="1" s="1"/>
  <c r="Y97" i="1" s="1"/>
  <c r="W89" i="1"/>
  <c r="X89" i="1" s="1"/>
  <c r="Y89" i="1" s="1"/>
  <c r="W81" i="1"/>
  <c r="X81" i="1" s="1"/>
  <c r="Y81" i="1" s="1"/>
  <c r="W73" i="1"/>
  <c r="X73" i="1" s="1"/>
  <c r="Y73" i="1" s="1"/>
  <c r="W65" i="1"/>
  <c r="X65" i="1" s="1"/>
  <c r="Y65" i="1" s="1"/>
  <c r="W57" i="1"/>
  <c r="X57" i="1" s="1"/>
  <c r="Y57" i="1" s="1"/>
  <c r="W49" i="1"/>
  <c r="X49" i="1" s="1"/>
  <c r="Y49" i="1" s="1"/>
  <c r="W41" i="1"/>
  <c r="X41" i="1" s="1"/>
  <c r="Y41" i="1" s="1"/>
  <c r="W33" i="1"/>
  <c r="X33" i="1" s="1"/>
  <c r="Y33" i="1" s="1"/>
  <c r="W25" i="1"/>
  <c r="X25" i="1" s="1"/>
  <c r="Y25" i="1" s="1"/>
  <c r="W17" i="1"/>
  <c r="X17" i="1" s="1"/>
  <c r="Y17" i="1" s="1"/>
  <c r="W9" i="1"/>
  <c r="X9" i="1" s="1"/>
  <c r="Y9" i="1" s="1"/>
  <c r="W3" i="1"/>
  <c r="X3" i="1" s="1"/>
  <c r="Y3" i="1" s="1"/>
</calcChain>
</file>

<file path=xl/sharedStrings.xml><?xml version="1.0" encoding="utf-8"?>
<sst xmlns="http://schemas.openxmlformats.org/spreadsheetml/2006/main" count="696" uniqueCount="244">
  <si>
    <t>POTENCIAL</t>
  </si>
  <si>
    <t>COGNITIVA</t>
  </si>
  <si>
    <t>ADAPTABILIDAD</t>
  </si>
  <si>
    <t>MOTIVACIÓN</t>
  </si>
  <si>
    <t>SOCIOEMOCIONALES</t>
  </si>
  <si>
    <t xml:space="preserve">C </t>
  </si>
  <si>
    <t xml:space="preserve">A </t>
  </si>
  <si>
    <t xml:space="preserve">M </t>
  </si>
  <si>
    <t xml:space="preserve">S </t>
  </si>
  <si>
    <t>NOTA SGD</t>
  </si>
  <si>
    <t>NOTA SGD MATRIZ</t>
  </si>
  <si>
    <t>3.17</t>
  </si>
  <si>
    <t>3.53</t>
  </si>
  <si>
    <t>3.16</t>
  </si>
  <si>
    <t>3.49</t>
  </si>
  <si>
    <t>3.38</t>
  </si>
  <si>
    <t>4.11</t>
  </si>
  <si>
    <t>3.12</t>
  </si>
  <si>
    <t>3.52</t>
  </si>
  <si>
    <t>3.59</t>
  </si>
  <si>
    <t>3.41</t>
  </si>
  <si>
    <t>3.09</t>
  </si>
  <si>
    <t>3.57</t>
  </si>
  <si>
    <t>3.77</t>
  </si>
  <si>
    <t>2.98</t>
  </si>
  <si>
    <t>3.44</t>
  </si>
  <si>
    <t>2.78</t>
  </si>
  <si>
    <t>3.46</t>
  </si>
  <si>
    <t>3.7</t>
  </si>
  <si>
    <t>3.42</t>
  </si>
  <si>
    <t>3.61</t>
  </si>
  <si>
    <t>3.47</t>
  </si>
  <si>
    <t>3.18</t>
  </si>
  <si>
    <t>3.58</t>
  </si>
  <si>
    <t>2.72</t>
  </si>
  <si>
    <t>2.74</t>
  </si>
  <si>
    <t>3.4</t>
  </si>
  <si>
    <t>3.05</t>
  </si>
  <si>
    <t>3.6</t>
  </si>
  <si>
    <t>3.78</t>
  </si>
  <si>
    <t>3.13</t>
  </si>
  <si>
    <t>3.37</t>
  </si>
  <si>
    <t>3.32</t>
  </si>
  <si>
    <t>3.62</t>
  </si>
  <si>
    <t>3.24</t>
  </si>
  <si>
    <t>3.48</t>
  </si>
  <si>
    <t>3.15</t>
  </si>
  <si>
    <t>3.03</t>
  </si>
  <si>
    <t>3</t>
  </si>
  <si>
    <t>2.92</t>
  </si>
  <si>
    <t>3.08</t>
  </si>
  <si>
    <t>3.91</t>
  </si>
  <si>
    <t>3.26</t>
  </si>
  <si>
    <t>3.3</t>
  </si>
  <si>
    <t>3.96</t>
  </si>
  <si>
    <t>3.28</t>
  </si>
  <si>
    <t>3.5</t>
  </si>
  <si>
    <t>3.27</t>
  </si>
  <si>
    <t>3.04</t>
  </si>
  <si>
    <t>3.88</t>
  </si>
  <si>
    <t>3.75</t>
  </si>
  <si>
    <t>3.89</t>
  </si>
  <si>
    <t>3.45</t>
  </si>
  <si>
    <t>3.66</t>
  </si>
  <si>
    <t>3.69</t>
  </si>
  <si>
    <t>3.56</t>
  </si>
  <si>
    <t>3.23</t>
  </si>
  <si>
    <t>3.1</t>
  </si>
  <si>
    <t>3.71</t>
  </si>
  <si>
    <t>3.83</t>
  </si>
  <si>
    <t>3.33</t>
  </si>
  <si>
    <t>3.73</t>
  </si>
  <si>
    <t>3.21</t>
  </si>
  <si>
    <t>3.63</t>
  </si>
  <si>
    <t>4.02</t>
  </si>
  <si>
    <t>3.31</t>
  </si>
  <si>
    <t>3.76</t>
  </si>
  <si>
    <t>2.73</t>
  </si>
  <si>
    <t xml:space="preserve">PROMEDIO </t>
  </si>
  <si>
    <t>NINEBOX</t>
  </si>
  <si>
    <t>Talento con Alto Potencial</t>
  </si>
  <si>
    <t>NOTA POTENCIAL MATRIZ</t>
  </si>
  <si>
    <t>Contribuyente con Alerta</t>
  </si>
  <si>
    <t>Contribuyente Destacado</t>
  </si>
  <si>
    <t>Contribuyente Critico</t>
  </si>
  <si>
    <t>Talento en Desarrollo</t>
  </si>
  <si>
    <t>Talento Adaptable</t>
  </si>
  <si>
    <t>Promesa de Talento</t>
  </si>
  <si>
    <t>SAP</t>
  </si>
  <si>
    <t>300007</t>
  </si>
  <si>
    <t>300033</t>
  </si>
  <si>
    <t>300050</t>
  </si>
  <si>
    <t>300109</t>
  </si>
  <si>
    <t>300630</t>
  </si>
  <si>
    <t>300718</t>
  </si>
  <si>
    <t>300757</t>
  </si>
  <si>
    <t>300871</t>
  </si>
  <si>
    <t>300872</t>
  </si>
  <si>
    <t>300874</t>
  </si>
  <si>
    <t>300876</t>
  </si>
  <si>
    <t>300958</t>
  </si>
  <si>
    <t>300959</t>
  </si>
  <si>
    <t>300960</t>
  </si>
  <si>
    <t>300962</t>
  </si>
  <si>
    <t>301008</t>
  </si>
  <si>
    <t>301036</t>
  </si>
  <si>
    <t>301044</t>
  </si>
  <si>
    <t>301051</t>
  </si>
  <si>
    <t>301269</t>
  </si>
  <si>
    <t>301275</t>
  </si>
  <si>
    <t>301279</t>
  </si>
  <si>
    <t>301379</t>
  </si>
  <si>
    <t>301407</t>
  </si>
  <si>
    <t>301409</t>
  </si>
  <si>
    <t>301479</t>
  </si>
  <si>
    <t>301606</t>
  </si>
  <si>
    <t>301649</t>
  </si>
  <si>
    <t>301650</t>
  </si>
  <si>
    <t>301721</t>
  </si>
  <si>
    <t>301777</t>
  </si>
  <si>
    <t>301837</t>
  </si>
  <si>
    <t>301977</t>
  </si>
  <si>
    <t>302018</t>
  </si>
  <si>
    <t>302095</t>
  </si>
  <si>
    <t>302107</t>
  </si>
  <si>
    <t>302108</t>
  </si>
  <si>
    <t>302236</t>
  </si>
  <si>
    <t>302240</t>
  </si>
  <si>
    <t>302265</t>
  </si>
  <si>
    <t>302266</t>
  </si>
  <si>
    <t>302315</t>
  </si>
  <si>
    <t>302386</t>
  </si>
  <si>
    <t>302397</t>
  </si>
  <si>
    <t>302707</t>
  </si>
  <si>
    <t>302723</t>
  </si>
  <si>
    <t>302968</t>
  </si>
  <si>
    <t>303359</t>
  </si>
  <si>
    <t>303378</t>
  </si>
  <si>
    <t>303380</t>
  </si>
  <si>
    <t>303424</t>
  </si>
  <si>
    <t>303583</t>
  </si>
  <si>
    <t>303857</t>
  </si>
  <si>
    <t>303891</t>
  </si>
  <si>
    <t>303892</t>
  </si>
  <si>
    <t>303893</t>
  </si>
  <si>
    <t>303895</t>
  </si>
  <si>
    <t>303896</t>
  </si>
  <si>
    <t>303897</t>
  </si>
  <si>
    <t>304205</t>
  </si>
  <si>
    <t>304240</t>
  </si>
  <si>
    <t>304406</t>
  </si>
  <si>
    <t>304473</t>
  </si>
  <si>
    <t>304652</t>
  </si>
  <si>
    <t>304687</t>
  </si>
  <si>
    <t>304710</t>
  </si>
  <si>
    <t>304876</t>
  </si>
  <si>
    <t>304915</t>
  </si>
  <si>
    <t>304936</t>
  </si>
  <si>
    <t>304949</t>
  </si>
  <si>
    <t>305023</t>
  </si>
  <si>
    <t>32370</t>
  </si>
  <si>
    <t>32392</t>
  </si>
  <si>
    <t>32681</t>
  </si>
  <si>
    <t>33430</t>
  </si>
  <si>
    <t>35246</t>
  </si>
  <si>
    <t>35283</t>
  </si>
  <si>
    <t>35810</t>
  </si>
  <si>
    <t>39302</t>
  </si>
  <si>
    <t>50221</t>
  </si>
  <si>
    <t>53782</t>
  </si>
  <si>
    <t>55615</t>
  </si>
  <si>
    <t>56483</t>
  </si>
  <si>
    <t>56845</t>
  </si>
  <si>
    <t>58066</t>
  </si>
  <si>
    <t>58603</t>
  </si>
  <si>
    <t>60362</t>
  </si>
  <si>
    <t>62872</t>
  </si>
  <si>
    <t>63248</t>
  </si>
  <si>
    <t>63774</t>
  </si>
  <si>
    <t>64000</t>
  </si>
  <si>
    <t>64028</t>
  </si>
  <si>
    <t>64098</t>
  </si>
  <si>
    <t>64185</t>
  </si>
  <si>
    <t>64186</t>
  </si>
  <si>
    <t>64214</t>
  </si>
  <si>
    <t>64256</t>
  </si>
  <si>
    <t>64257</t>
  </si>
  <si>
    <t>64262</t>
  </si>
  <si>
    <t>64317</t>
  </si>
  <si>
    <t>64322</t>
  </si>
  <si>
    <t>64346</t>
  </si>
  <si>
    <t>64349</t>
  </si>
  <si>
    <t>64356</t>
  </si>
  <si>
    <t>64363</t>
  </si>
  <si>
    <t>64366</t>
  </si>
  <si>
    <t>64378</t>
  </si>
  <si>
    <t>64409</t>
  </si>
  <si>
    <t>64440</t>
  </si>
  <si>
    <t>64446</t>
  </si>
  <si>
    <t>64711</t>
  </si>
  <si>
    <t>64753</t>
  </si>
  <si>
    <t>65231</t>
  </si>
  <si>
    <t>65232</t>
  </si>
  <si>
    <t>65236</t>
  </si>
  <si>
    <t>66816</t>
  </si>
  <si>
    <t>66817</t>
  </si>
  <si>
    <t>67800</t>
  </si>
  <si>
    <t>68578</t>
  </si>
  <si>
    <t>69345</t>
  </si>
  <si>
    <t>69861</t>
  </si>
  <si>
    <t>70022</t>
  </si>
  <si>
    <t>70024</t>
  </si>
  <si>
    <t>70045</t>
  </si>
  <si>
    <t>70118</t>
  </si>
  <si>
    <t>72802</t>
  </si>
  <si>
    <t>74096</t>
  </si>
  <si>
    <t>74627</t>
  </si>
  <si>
    <t>74688</t>
  </si>
  <si>
    <t>74952</t>
  </si>
  <si>
    <t>75574</t>
  </si>
  <si>
    <t>75662</t>
  </si>
  <si>
    <t>75810</t>
  </si>
  <si>
    <t>77541</t>
  </si>
  <si>
    <t>77853</t>
  </si>
  <si>
    <t>78128</t>
  </si>
  <si>
    <t>Edad</t>
  </si>
  <si>
    <t>Genero</t>
  </si>
  <si>
    <t>Antigüedad</t>
  </si>
  <si>
    <t>Gerencia</t>
  </si>
  <si>
    <t>Turno</t>
  </si>
  <si>
    <t>Gerencia de Administración</t>
  </si>
  <si>
    <t>Gerencia de Mantenimiento</t>
  </si>
  <si>
    <t>Gerencia de Operaciones</t>
  </si>
  <si>
    <t>Gerencia de Recursos Mineros y Desarr</t>
  </si>
  <si>
    <t>Gerencia de Seguridad y Salud Ocup.</t>
  </si>
  <si>
    <t>Gerencia de Gestión de Personas</t>
  </si>
  <si>
    <t>Prof. 4X3 12 hrs</t>
  </si>
  <si>
    <t>Oper. 7X7 12 Hrs TAB G03</t>
  </si>
  <si>
    <t>Oper. 7X7 12 Hrs TAB G01</t>
  </si>
  <si>
    <t>Oper. 7X7 12 Hrs TAB A06</t>
  </si>
  <si>
    <t>Oper. 7X7 12 Hrs TAB A05</t>
  </si>
  <si>
    <t>Oper. 7X7 12 Hrs TAB G02</t>
  </si>
  <si>
    <t>Oper. 7X7 12 Hrs TAB G04</t>
  </si>
  <si>
    <t xml:space="preserve">Gerencia General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</si>
</sst>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9" borderId="1" xfId="0" applyFont="1" applyFill="1" applyBorder="1" applyAlignment="1">
      <alignment horizontal="center" vertical="top"/>
    </xf>
    <xf numFmtId="0" fontId="1" fillId="10" borderId="1" xfId="0" applyFont="1" applyFill="1" applyBorder="1" applyAlignment="1">
      <alignment horizontal="center" vertical="top"/>
    </xf>
    <xf numFmtId="0" fontId="1" fillId="11" borderId="1" xfId="0" applyFont="1" applyFill="1" applyBorder="1" applyAlignment="1">
      <alignment horizontal="center" vertical="top"/>
    </xf>
    <xf numFmtId="0" fontId="1" fillId="12" borderId="1" xfId="0" applyFont="1" applyFill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2" fontId="0" fillId="0" borderId="1" xfId="0" applyNumberFormat="1" applyBorder="1"/>
    <xf numFmtId="0" fontId="0" fillId="0" borderId="1" xfId="0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fuen058_codelco_cl/Documents/Archivos%20de%20chat%20de%20Microsoft%20Teams/MAESTRO%20MARZO.xlsx" TargetMode="External"/><Relationship Id="rId2" Type="http://schemas.openxmlformats.org/officeDocument/2006/relationships/externalLinkPath" Target="https://codelcochile-my.sharepoint.com/personal/cfuen058_codelco_cl/Documents/Archivos%20de%20chat%20de%20Microsoft%20Teams/MAESTRO%20MARZO.xlsx" TargetMode="External"/><Relationship Id="rId1" Type="http://schemas.openxmlformats.org/officeDocument/2006/relationships/externalLinkPath" Target="/personal/cfuen058_codelco_cl/Documents/Archivos%20de%20chat%20de%20Microsoft%20Teams/MAESTRO%20MARZ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port"/>
    </sheetNames>
    <sheetDataSet>
      <sheetData sheetId="0">
        <row r="1">
          <cell r="A1" t="str">
            <v>Clave</v>
          </cell>
          <cell r="B1" t="str">
            <v>RUT</v>
          </cell>
          <cell r="C1" t="str">
            <v>Nombre</v>
          </cell>
          <cell r="D1" t="str">
            <v>Posición</v>
          </cell>
          <cell r="E1" t="str">
            <v>Regla para plan hora</v>
          </cell>
          <cell r="F1" t="str">
            <v>Sexo</v>
          </cell>
          <cell r="G1" t="str">
            <v>Email</v>
          </cell>
          <cell r="H1" t="str">
            <v>Edad</v>
          </cell>
          <cell r="I1" t="str">
            <v>Indem. Reconocida</v>
          </cell>
          <cell r="J1" t="str">
            <v>Ingr. Cargo</v>
          </cell>
          <cell r="K1" t="str">
            <v>Nivel Posición</v>
          </cell>
          <cell r="L1" t="str">
            <v>Ingr. Categoria</v>
          </cell>
          <cell r="M1" t="str">
            <v>Ingr. Div. Personal</v>
          </cell>
          <cell r="N1" t="str">
            <v>Ingr. Rol</v>
          </cell>
          <cell r="O1" t="str">
            <v>Ingr.Subdiv.Personal</v>
          </cell>
          <cell r="P1" t="str">
            <v>Fecha Jubilación</v>
          </cell>
          <cell r="Q1" t="str">
            <v>Ingreso a Codelco</v>
          </cell>
          <cell r="R1" t="str">
            <v>Antiguedad</v>
          </cell>
          <cell r="S1" t="str">
            <v>Fecha de contratación</v>
          </cell>
          <cell r="T1" t="str">
            <v>Superior</v>
          </cell>
          <cell r="U1" t="str">
            <v>Email Superior</v>
          </cell>
          <cell r="V1" t="str">
            <v>Gerencia</v>
          </cell>
          <cell r="W1" t="str">
            <v>Superintendencia/Direccion</v>
          </cell>
          <cell r="X1" t="str">
            <v>Unidad organización</v>
          </cell>
          <cell r="Y1" t="str">
            <v>Área de personal</v>
          </cell>
          <cell r="Z1" t="str">
            <v>Grupo de personal</v>
          </cell>
        </row>
        <row r="2">
          <cell r="A2" t="str">
            <v>18666</v>
          </cell>
          <cell r="B2" t="str">
            <v>83739258</v>
          </cell>
          <cell r="C2" t="str">
            <v>HERRERA CORALES CLAUDIO</v>
          </cell>
          <cell r="D2" t="str">
            <v>Supdte. de Confiabilidad</v>
          </cell>
          <cell r="E2" t="str">
            <v>Prof. 4X3 12 hrs</v>
          </cell>
          <cell r="F2" t="str">
            <v>Masculino</v>
          </cell>
          <cell r="G2" t="str">
            <v>CHERR002@CODELCO.CL</v>
          </cell>
          <cell r="H2">
            <v>64</v>
          </cell>
          <cell r="I2">
            <v>45579</v>
          </cell>
          <cell r="J2">
            <v>45579</v>
          </cell>
          <cell r="K2" t="str">
            <v>4</v>
          </cell>
          <cell r="L2">
            <v>45579</v>
          </cell>
          <cell r="M2">
            <v>45579</v>
          </cell>
          <cell r="N2">
            <v>45579</v>
          </cell>
          <cell r="O2">
            <v>45579</v>
          </cell>
          <cell r="P2">
            <v>46347</v>
          </cell>
          <cell r="Q2">
            <v>45579</v>
          </cell>
          <cell r="R2">
            <v>2</v>
          </cell>
          <cell r="S2">
            <v>45579</v>
          </cell>
          <cell r="T2" t="str">
            <v>Sin asignar</v>
          </cell>
          <cell r="U2" t="str">
            <v>Sin asignar</v>
          </cell>
          <cell r="V2" t="str">
            <v>Gerencia de Mantenimiento</v>
          </cell>
          <cell r="W2" t="str">
            <v>Superintendencia de Confiabilidad</v>
          </cell>
          <cell r="X2" t="str">
            <v>Superintendencia de Confiabilidad</v>
          </cell>
          <cell r="Y2" t="str">
            <v>Profesional</v>
          </cell>
          <cell r="Z2" t="str">
            <v>Indefinido</v>
          </cell>
        </row>
        <row r="3">
          <cell r="A3" t="str">
            <v>19687</v>
          </cell>
          <cell r="B3" t="str">
            <v>97807639</v>
          </cell>
          <cell r="C3" t="str">
            <v>MEDINA VALDIVIA CARLOS ALFONSO</v>
          </cell>
          <cell r="D3" t="str">
            <v>Operador Mina</v>
          </cell>
          <cell r="E3" t="str">
            <v>Oper. 7X7 12 Hrs TAB G01</v>
          </cell>
          <cell r="F3" t="str">
            <v>Masculino</v>
          </cell>
          <cell r="G3" t="str">
            <v>CMEDI003@CODELCO.CL</v>
          </cell>
          <cell r="H3">
            <v>61</v>
          </cell>
          <cell r="I3">
            <v>40940</v>
          </cell>
          <cell r="J3">
            <v>38231</v>
          </cell>
          <cell r="K3" t="str">
            <v>10</v>
          </cell>
          <cell r="L3">
            <v>44682</v>
          </cell>
          <cell r="M3">
            <v>40940</v>
          </cell>
          <cell r="N3">
            <v>32763</v>
          </cell>
          <cell r="O3">
            <v>32763</v>
          </cell>
          <cell r="P3">
            <v>47326</v>
          </cell>
          <cell r="Q3">
            <v>40817</v>
          </cell>
          <cell r="R3">
            <v>14</v>
          </cell>
          <cell r="S3">
            <v>40940</v>
          </cell>
          <cell r="T3" t="str">
            <v>ICETA BAEZA ANTONIO</v>
          </cell>
          <cell r="U3" t="str">
            <v>AICETA@CODELCO.CL</v>
          </cell>
          <cell r="V3" t="str">
            <v>Gerencia de Operaciones</v>
          </cell>
          <cell r="W3" t="str">
            <v>Sptcia. Operacion Mina</v>
          </cell>
          <cell r="X3" t="str">
            <v>Sptcia. Operacion Mina</v>
          </cell>
          <cell r="Y3" t="str">
            <v>Operativo</v>
          </cell>
          <cell r="Z3" t="str">
            <v>Indefinido</v>
          </cell>
        </row>
        <row r="4">
          <cell r="A4" t="str">
            <v>29184</v>
          </cell>
          <cell r="B4" t="str">
            <v>97522146</v>
          </cell>
          <cell r="C4" t="str">
            <v>RETAMAL ORTIZ JORGE</v>
          </cell>
          <cell r="D4" t="str">
            <v>Supdte. Operacion Area Humeda</v>
          </cell>
          <cell r="E4" t="str">
            <v>Prof. 4X3 12 hrs</v>
          </cell>
          <cell r="F4" t="str">
            <v>Masculino</v>
          </cell>
          <cell r="G4" t="str">
            <v>JRETA003@CODELCO.CL</v>
          </cell>
          <cell r="H4">
            <v>59</v>
          </cell>
          <cell r="I4">
            <v>39546</v>
          </cell>
          <cell r="J4">
            <v>44958</v>
          </cell>
          <cell r="K4" t="str">
            <v>4</v>
          </cell>
          <cell r="L4">
            <v>45047</v>
          </cell>
          <cell r="M4">
            <v>39546</v>
          </cell>
          <cell r="N4">
            <v>44835</v>
          </cell>
          <cell r="O4">
            <v>44835</v>
          </cell>
          <cell r="P4">
            <v>48178</v>
          </cell>
          <cell r="Q4">
            <v>39546</v>
          </cell>
          <cell r="R4">
            <v>18</v>
          </cell>
          <cell r="S4">
            <v>39546</v>
          </cell>
          <cell r="T4" t="str">
            <v>Sin asignar</v>
          </cell>
          <cell r="U4" t="str">
            <v>Sin asignar</v>
          </cell>
          <cell r="V4" t="str">
            <v>Gerencia de Operaciones</v>
          </cell>
          <cell r="W4" t="str">
            <v>Sptcia. Operacion Area Hum.</v>
          </cell>
          <cell r="X4" t="str">
            <v>Sptcia. Operacion Area Hum.</v>
          </cell>
          <cell r="Y4" t="str">
            <v>Profesional</v>
          </cell>
          <cell r="Z4" t="str">
            <v>Indefinido</v>
          </cell>
        </row>
        <row r="5">
          <cell r="A5" t="str">
            <v>300007</v>
          </cell>
          <cell r="B5" t="str">
            <v>160991127</v>
          </cell>
          <cell r="C5" t="str">
            <v>ZURITA RODRIGUEZ FRANCISCO ALEJANDRO</v>
          </cell>
          <cell r="D5" t="str">
            <v>Ingeniero/a Especilista Excelencia Opera</v>
          </cell>
          <cell r="E5" t="str">
            <v>Prof. 4X3 12 hrs</v>
          </cell>
          <cell r="F5" t="str">
            <v>Masculino</v>
          </cell>
          <cell r="G5" t="str">
            <v>FZURI002@CODELCO.CL</v>
          </cell>
          <cell r="H5">
            <v>40</v>
          </cell>
          <cell r="I5">
            <v>43864</v>
          </cell>
          <cell r="J5">
            <v>45170</v>
          </cell>
          <cell r="K5" t="str">
            <v>#</v>
          </cell>
          <cell r="L5">
            <v>45170</v>
          </cell>
          <cell r="M5">
            <v>43864</v>
          </cell>
          <cell r="N5">
            <v>43864</v>
          </cell>
          <cell r="O5">
            <v>43864</v>
          </cell>
          <cell r="P5">
            <v>55052</v>
          </cell>
          <cell r="Q5">
            <v>43864</v>
          </cell>
          <cell r="R5">
            <v>6</v>
          </cell>
          <cell r="S5">
            <v>43864</v>
          </cell>
          <cell r="T5" t="str">
            <v>VENEGAS MILLONES GABRIELA PATRICIA</v>
          </cell>
          <cell r="U5" t="str">
            <v>GVENE001@CODELCO.CL</v>
          </cell>
          <cell r="V5" t="str">
            <v>Direccion de Excelencia Operacional</v>
          </cell>
          <cell r="W5" t="str">
            <v>Sin asignar</v>
          </cell>
          <cell r="X5" t="str">
            <v>Direccion de Excelencia Operacional</v>
          </cell>
          <cell r="Y5" t="str">
            <v>Profesional</v>
          </cell>
          <cell r="Z5" t="str">
            <v>Indefinido</v>
          </cell>
        </row>
        <row r="6">
          <cell r="A6" t="str">
            <v>300033</v>
          </cell>
          <cell r="B6" t="str">
            <v>170384644</v>
          </cell>
          <cell r="C6" t="str">
            <v>OPAZO MARIN PABLO ANDRES</v>
          </cell>
          <cell r="D6" t="str">
            <v>Ingeniero Control de Gestión</v>
          </cell>
          <cell r="E6" t="str">
            <v>Prof. 4X3 12 hrs</v>
          </cell>
          <cell r="F6" t="str">
            <v>Masculino</v>
          </cell>
          <cell r="G6" t="str">
            <v>POPAZ005@CODELCO.CL</v>
          </cell>
          <cell r="H6">
            <v>37</v>
          </cell>
          <cell r="I6">
            <v>44713</v>
          </cell>
          <cell r="J6">
            <v>44713</v>
          </cell>
          <cell r="K6" t="str">
            <v>#</v>
          </cell>
          <cell r="L6">
            <v>45931</v>
          </cell>
          <cell r="M6">
            <v>44713</v>
          </cell>
          <cell r="N6">
            <v>43619</v>
          </cell>
          <cell r="O6">
            <v>43619</v>
          </cell>
          <cell r="P6">
            <v>43619</v>
          </cell>
          <cell r="Q6">
            <v>44713</v>
          </cell>
          <cell r="R6">
            <v>4</v>
          </cell>
          <cell r="S6">
            <v>44713</v>
          </cell>
          <cell r="T6" t="str">
            <v>Sin asignar</v>
          </cell>
          <cell r="U6" t="str">
            <v>Sin asignar</v>
          </cell>
          <cell r="V6" t="str">
            <v>Gerencia de Administración</v>
          </cell>
          <cell r="W6" t="str">
            <v>Direccion Ctrl. Gestion y Presupuesto</v>
          </cell>
          <cell r="X6" t="str">
            <v>GOP Ctrl. Gestion</v>
          </cell>
          <cell r="Y6" t="str">
            <v>Profesional</v>
          </cell>
          <cell r="Z6" t="str">
            <v>Indefinido</v>
          </cell>
        </row>
        <row r="7">
          <cell r="A7" t="str">
            <v>300050</v>
          </cell>
          <cell r="B7" t="str">
            <v>123517547</v>
          </cell>
          <cell r="C7" t="str">
            <v>BARRAZA ARGANDOÑA LEONARDO ALFREDO</v>
          </cell>
          <cell r="D7" t="str">
            <v>Ingeniero/a Mantenimiento Mina</v>
          </cell>
          <cell r="E7" t="str">
            <v>Oper. 7X7 12 Hrs TAB G03</v>
          </cell>
          <cell r="F7" t="str">
            <v>Masculino</v>
          </cell>
          <cell r="G7" t="str">
            <v>LBARR034@CODELCO.CL</v>
          </cell>
          <cell r="H7">
            <v>52</v>
          </cell>
          <cell r="I7">
            <v>43892</v>
          </cell>
          <cell r="J7">
            <v>44231</v>
          </cell>
          <cell r="K7" t="str">
            <v>#</v>
          </cell>
          <cell r="L7">
            <v>43892</v>
          </cell>
          <cell r="M7">
            <v>43892</v>
          </cell>
          <cell r="N7">
            <v>44231</v>
          </cell>
          <cell r="O7">
            <v>44231</v>
          </cell>
          <cell r="P7">
            <v>51508</v>
          </cell>
          <cell r="Q7">
            <v>43892</v>
          </cell>
          <cell r="R7">
            <v>6</v>
          </cell>
          <cell r="S7">
            <v>43892</v>
          </cell>
          <cell r="T7" t="str">
            <v>RUZ MIRANDA DANIEL ESTEBAN</v>
          </cell>
          <cell r="U7" t="str">
            <v>DRUZ@CODELCO.CL</v>
          </cell>
          <cell r="V7" t="str">
            <v>Gerencia de Mantenimiento</v>
          </cell>
          <cell r="W7" t="str">
            <v>Sptcia. Mtto. Mina</v>
          </cell>
          <cell r="X7" t="str">
            <v>Sptcia. Mtto. Mina</v>
          </cell>
          <cell r="Y7" t="str">
            <v>Profesional</v>
          </cell>
          <cell r="Z7" t="str">
            <v>Indefinido</v>
          </cell>
        </row>
        <row r="8">
          <cell r="A8" t="str">
            <v>300109</v>
          </cell>
          <cell r="B8" t="str">
            <v>184825732</v>
          </cell>
          <cell r="C8" t="str">
            <v>CARVAJAL NIETO MARCELO ANDRES</v>
          </cell>
          <cell r="D8" t="str">
            <v>Ingeniero Programacion Mantenimiento</v>
          </cell>
          <cell r="E8" t="str">
            <v>Prof. 4X3 12 hrs</v>
          </cell>
          <cell r="F8" t="str">
            <v>Masculino</v>
          </cell>
          <cell r="G8" t="str">
            <v>MCARV025@CODELCO.CL</v>
          </cell>
          <cell r="H8">
            <v>32</v>
          </cell>
          <cell r="I8">
            <v>43927</v>
          </cell>
          <cell r="J8">
            <v>45689</v>
          </cell>
          <cell r="K8" t="str">
            <v>#</v>
          </cell>
          <cell r="L8">
            <v>43927</v>
          </cell>
          <cell r="M8">
            <v>43927</v>
          </cell>
          <cell r="N8">
            <v>43836</v>
          </cell>
          <cell r="O8">
            <v>45261</v>
          </cell>
          <cell r="P8">
            <v>56420</v>
          </cell>
          <cell r="Q8">
            <v>43927</v>
          </cell>
          <cell r="R8">
            <v>6</v>
          </cell>
          <cell r="S8">
            <v>43927</v>
          </cell>
          <cell r="T8" t="str">
            <v>DONOSO NOGALES PEDRO ARNOLDO</v>
          </cell>
          <cell r="U8" t="str">
            <v>PDONO007@CODELCO.CL</v>
          </cell>
          <cell r="V8" t="str">
            <v>Gerencia de Mantenimiento</v>
          </cell>
          <cell r="W8" t="str">
            <v>Sptcia. Planificacion Mantenimiento</v>
          </cell>
          <cell r="X8" t="str">
            <v>Sptcia. Planificacion Mantenimiento</v>
          </cell>
          <cell r="Y8" t="str">
            <v>Profesional</v>
          </cell>
          <cell r="Z8" t="str">
            <v>Indefinido</v>
          </cell>
        </row>
        <row r="9">
          <cell r="A9" t="str">
            <v>300461</v>
          </cell>
          <cell r="B9" t="str">
            <v>154696806</v>
          </cell>
          <cell r="C9" t="str">
            <v>CHACOFF SEPULVEDA CARLOS ANDRES</v>
          </cell>
          <cell r="D9" t="str">
            <v>Operador Planta AS</v>
          </cell>
          <cell r="E9" t="str">
            <v>Oper. 7X7 12 Hrs TAB G03</v>
          </cell>
          <cell r="F9" t="str">
            <v>Masculino</v>
          </cell>
          <cell r="G9" t="str">
            <v>CCHAC005@CODELCO.CL</v>
          </cell>
          <cell r="H9">
            <v>44</v>
          </cell>
          <cell r="I9">
            <v>44081</v>
          </cell>
          <cell r="J9">
            <v>38474</v>
          </cell>
          <cell r="K9" t="str">
            <v>10</v>
          </cell>
          <cell r="L9">
            <v>45413</v>
          </cell>
          <cell r="M9">
            <v>44081</v>
          </cell>
          <cell r="N9">
            <v>38474</v>
          </cell>
          <cell r="O9">
            <v>38474</v>
          </cell>
          <cell r="P9">
            <v>50701</v>
          </cell>
          <cell r="Q9">
            <v>44081</v>
          </cell>
          <cell r="R9">
            <v>6</v>
          </cell>
          <cell r="S9">
            <v>44081</v>
          </cell>
          <cell r="T9" t="str">
            <v>VASQUEZ LOPEZ ARTURO RICARDO</v>
          </cell>
          <cell r="U9" t="str">
            <v>AVASQ018@CODELCO.CL</v>
          </cell>
          <cell r="V9" t="str">
            <v>Gerencia de Operaciones</v>
          </cell>
          <cell r="W9" t="str">
            <v>Sptcia. Operacion Area Seca</v>
          </cell>
          <cell r="X9" t="str">
            <v>Sptcia. Operacion Area Seca</v>
          </cell>
          <cell r="Y9" t="str">
            <v>Operativo</v>
          </cell>
          <cell r="Z9" t="str">
            <v>Indefinido</v>
          </cell>
        </row>
        <row r="10">
          <cell r="A10" t="str">
            <v>300537</v>
          </cell>
          <cell r="B10" t="str">
            <v>011817349K</v>
          </cell>
          <cell r="C10" t="str">
            <v>GUAMPARITO GALLARDO MIGUEL ALEX</v>
          </cell>
          <cell r="D10" t="str">
            <v>Operador Mina</v>
          </cell>
          <cell r="E10" t="str">
            <v>Oper. 7X7 12 Hrs TAB G02</v>
          </cell>
          <cell r="F10" t="str">
            <v>Masculino</v>
          </cell>
          <cell r="G10" t="str">
            <v>MGUAM001@CODELCO.CL</v>
          </cell>
          <cell r="H10">
            <v>54</v>
          </cell>
          <cell r="I10">
            <v>44109</v>
          </cell>
          <cell r="J10">
            <v>45352</v>
          </cell>
          <cell r="K10" t="str">
            <v>10</v>
          </cell>
          <cell r="L10">
            <v>45778</v>
          </cell>
          <cell r="M10">
            <v>44109</v>
          </cell>
          <cell r="N10">
            <v>45352</v>
          </cell>
          <cell r="O10">
            <v>45627</v>
          </cell>
          <cell r="P10">
            <v>58001</v>
          </cell>
          <cell r="Q10">
            <v>44109</v>
          </cell>
          <cell r="R10">
            <v>6</v>
          </cell>
          <cell r="S10">
            <v>44109</v>
          </cell>
          <cell r="T10" t="str">
            <v>ORTEGA ORTUYA CARLOS</v>
          </cell>
          <cell r="U10" t="str">
            <v>CORTE009@CODELCO.CL</v>
          </cell>
          <cell r="V10" t="str">
            <v>Gerencia de Operaciones</v>
          </cell>
          <cell r="W10" t="str">
            <v>Sptcia. Operacion Mina</v>
          </cell>
          <cell r="X10" t="str">
            <v>Sptcia. Operacion Mina</v>
          </cell>
          <cell r="Y10" t="str">
            <v>Operativo</v>
          </cell>
          <cell r="Z10" t="str">
            <v>Indefinido</v>
          </cell>
        </row>
        <row r="11">
          <cell r="A11" t="str">
            <v>300539</v>
          </cell>
          <cell r="B11" t="str">
            <v>163261812</v>
          </cell>
          <cell r="C11" t="str">
            <v>MILLA GONZALEZ EDSON WILLIAMS</v>
          </cell>
          <cell r="D11" t="str">
            <v>Operador Planta AH</v>
          </cell>
          <cell r="E11" t="str">
            <v>Oper. 7X7 12 Hrs TAB G01</v>
          </cell>
          <cell r="F11" t="str">
            <v>Masculino</v>
          </cell>
          <cell r="G11" t="str">
            <v>EMILL005@CODELCO.CL</v>
          </cell>
          <cell r="H11">
            <v>40</v>
          </cell>
          <cell r="I11">
            <v>44109</v>
          </cell>
          <cell r="J11">
            <v>44105</v>
          </cell>
          <cell r="K11" t="str">
            <v>#</v>
          </cell>
          <cell r="L11">
            <v>44109</v>
          </cell>
          <cell r="M11">
            <v>44109</v>
          </cell>
          <cell r="N11">
            <v>44105</v>
          </cell>
          <cell r="O11">
            <v>44105</v>
          </cell>
          <cell r="P11">
            <v>51436</v>
          </cell>
          <cell r="Q11">
            <v>44109</v>
          </cell>
          <cell r="R11">
            <v>6</v>
          </cell>
          <cell r="S11">
            <v>44109</v>
          </cell>
          <cell r="T11" t="str">
            <v>ROJAS ESPINOZA MELISSA DEL CARMEN</v>
          </cell>
          <cell r="U11" t="str">
            <v>MROJA134@CODELCO.CL</v>
          </cell>
          <cell r="V11" t="str">
            <v>Gerencia de Operaciones</v>
          </cell>
          <cell r="W11" t="str">
            <v>Sptcia. Operacion Area Hum.</v>
          </cell>
          <cell r="X11" t="str">
            <v>Sx Ew y Patio de Embarque</v>
          </cell>
          <cell r="Y11" t="str">
            <v>Operativo</v>
          </cell>
          <cell r="Z11" t="str">
            <v>Indefinido</v>
          </cell>
        </row>
        <row r="12">
          <cell r="A12" t="str">
            <v>300604</v>
          </cell>
          <cell r="B12" t="str">
            <v>144770994</v>
          </cell>
          <cell r="C12" t="str">
            <v>SANTOS VARGAS ALVARO ANTONIO</v>
          </cell>
          <cell r="D12" t="str">
            <v>Operador Planta AS</v>
          </cell>
          <cell r="E12" t="str">
            <v>Oper. 7X7 12 Hrs TAB G04</v>
          </cell>
          <cell r="F12" t="str">
            <v>Masculino</v>
          </cell>
          <cell r="G12" t="str">
            <v>ASANT014@CODELCO.CL</v>
          </cell>
          <cell r="H12">
            <v>50</v>
          </cell>
          <cell r="I12">
            <v>44151</v>
          </cell>
          <cell r="J12">
            <v>44146</v>
          </cell>
          <cell r="K12" t="str">
            <v>10</v>
          </cell>
          <cell r="L12">
            <v>44151</v>
          </cell>
          <cell r="M12">
            <v>44151</v>
          </cell>
          <cell r="N12">
            <v>44146</v>
          </cell>
          <cell r="O12">
            <v>44146</v>
          </cell>
          <cell r="P12">
            <v>48419</v>
          </cell>
          <cell r="Q12">
            <v>44151</v>
          </cell>
          <cell r="R12">
            <v>6</v>
          </cell>
          <cell r="S12">
            <v>44151</v>
          </cell>
          <cell r="T12" t="str">
            <v>VIDELA GONZALEZ HERNAN MARCELO</v>
          </cell>
          <cell r="U12" t="str">
            <v>HVIDELA@CODELCO.CL</v>
          </cell>
          <cell r="V12" t="str">
            <v>Gerencia de Operaciones</v>
          </cell>
          <cell r="W12" t="str">
            <v>Sptcia. Operacion Area Seca</v>
          </cell>
          <cell r="X12" t="str">
            <v>Sptcia. Operacion Area Seca</v>
          </cell>
          <cell r="Y12" t="str">
            <v>Operativo</v>
          </cell>
          <cell r="Z12" t="str">
            <v>Indefinido</v>
          </cell>
        </row>
        <row r="13">
          <cell r="A13" t="str">
            <v>300605</v>
          </cell>
          <cell r="B13" t="str">
            <v>150258987</v>
          </cell>
          <cell r="C13" t="str">
            <v>RAMIREZ MONROY JOSE LUIS</v>
          </cell>
          <cell r="D13" t="str">
            <v>Operador Planta AS</v>
          </cell>
          <cell r="E13" t="str">
            <v>Oper. 7X7 12 Hrs TAB G03</v>
          </cell>
          <cell r="F13" t="str">
            <v>Masculino</v>
          </cell>
          <cell r="G13" t="str">
            <v>JRAMI033@CODELCO.CL</v>
          </cell>
          <cell r="H13">
            <v>42</v>
          </cell>
          <cell r="I13">
            <v>44151</v>
          </cell>
          <cell r="J13">
            <v>43633</v>
          </cell>
          <cell r="K13" t="str">
            <v>#</v>
          </cell>
          <cell r="L13">
            <v>44151</v>
          </cell>
          <cell r="M13">
            <v>44151</v>
          </cell>
          <cell r="N13">
            <v>43633</v>
          </cell>
          <cell r="O13">
            <v>43633</v>
          </cell>
          <cell r="P13">
            <v>52469</v>
          </cell>
          <cell r="Q13">
            <v>44151</v>
          </cell>
          <cell r="R13">
            <v>6</v>
          </cell>
          <cell r="S13">
            <v>44151</v>
          </cell>
          <cell r="T13" t="str">
            <v>VILCA LLAVE ALBERT ANTONIO</v>
          </cell>
          <cell r="U13" t="str">
            <v>AVILC003@CODELCO.CL</v>
          </cell>
          <cell r="V13" t="str">
            <v>Gerencia de Operaciones</v>
          </cell>
          <cell r="W13" t="str">
            <v>Sptcia. Operacion Area Seca</v>
          </cell>
          <cell r="X13" t="str">
            <v>Sptcia. Operacion Area Seca</v>
          </cell>
          <cell r="Y13" t="str">
            <v>Operativo</v>
          </cell>
          <cell r="Z13" t="str">
            <v>Indefinido</v>
          </cell>
        </row>
        <row r="14">
          <cell r="A14" t="str">
            <v>300606</v>
          </cell>
          <cell r="B14" t="str">
            <v>157695967</v>
          </cell>
          <cell r="C14" t="str">
            <v>ALBA CRUZ JAVIER FERNANDO</v>
          </cell>
          <cell r="D14" t="str">
            <v>Operador Planta AS</v>
          </cell>
          <cell r="E14" t="str">
            <v>Oper. 7X7 12 Hrs TAB G01</v>
          </cell>
          <cell r="F14" t="str">
            <v>Masculino</v>
          </cell>
          <cell r="G14" t="str">
            <v>JALBA004@CODELCO.CL</v>
          </cell>
          <cell r="H14">
            <v>41</v>
          </cell>
          <cell r="I14">
            <v>44151</v>
          </cell>
          <cell r="J14">
            <v>43633</v>
          </cell>
          <cell r="K14" t="str">
            <v>#</v>
          </cell>
          <cell r="L14">
            <v>44151</v>
          </cell>
          <cell r="M14">
            <v>44151</v>
          </cell>
          <cell r="N14">
            <v>43633</v>
          </cell>
          <cell r="O14">
            <v>43633</v>
          </cell>
          <cell r="P14">
            <v>52469</v>
          </cell>
          <cell r="Q14">
            <v>44151</v>
          </cell>
          <cell r="R14">
            <v>6</v>
          </cell>
          <cell r="S14">
            <v>44151</v>
          </cell>
          <cell r="T14" t="str">
            <v>AGUILERA PÉREZ JOSÉ ALFREDO</v>
          </cell>
          <cell r="U14" t="str">
            <v>JAGUI067@CODELCO.CL</v>
          </cell>
          <cell r="V14" t="str">
            <v>Gerencia de Operaciones</v>
          </cell>
          <cell r="W14" t="str">
            <v>Sptcia. Operacion Area Seca</v>
          </cell>
          <cell r="X14" t="str">
            <v>Sptcia. Operacion Area Seca</v>
          </cell>
          <cell r="Y14" t="str">
            <v>Operativo</v>
          </cell>
          <cell r="Z14" t="str">
            <v>Indefinido</v>
          </cell>
        </row>
        <row r="15">
          <cell r="A15" t="str">
            <v>300607</v>
          </cell>
          <cell r="B15" t="str">
            <v>164361535</v>
          </cell>
          <cell r="C15" t="str">
            <v>CASTRO STAMNA YANG FERNANDO</v>
          </cell>
          <cell r="D15" t="str">
            <v>Operador Planta AS</v>
          </cell>
          <cell r="E15" t="str">
            <v>Oper. 7X7 12 Hrs TAB G01</v>
          </cell>
          <cell r="F15" t="str">
            <v>Masculino</v>
          </cell>
          <cell r="G15" t="str">
            <v>YCAST012@CODELCO.CL</v>
          </cell>
          <cell r="H15">
            <v>39</v>
          </cell>
          <cell r="I15">
            <v>44151</v>
          </cell>
          <cell r="J15">
            <v>43633</v>
          </cell>
          <cell r="K15" t="str">
            <v>#</v>
          </cell>
          <cell r="L15">
            <v>44151</v>
          </cell>
          <cell r="M15">
            <v>44151</v>
          </cell>
          <cell r="N15">
            <v>43633</v>
          </cell>
          <cell r="O15">
            <v>43633</v>
          </cell>
          <cell r="P15">
            <v>52469</v>
          </cell>
          <cell r="Q15">
            <v>44151</v>
          </cell>
          <cell r="R15">
            <v>6</v>
          </cell>
          <cell r="S15">
            <v>44151</v>
          </cell>
          <cell r="T15" t="str">
            <v>AGUILERA PÉREZ JOSÉ ALFREDO</v>
          </cell>
          <cell r="U15" t="str">
            <v>JAGUI067@CODELCO.CL</v>
          </cell>
          <cell r="V15" t="str">
            <v>Gerencia de Operaciones</v>
          </cell>
          <cell r="W15" t="str">
            <v>Sptcia. Operacion Area Seca</v>
          </cell>
          <cell r="X15" t="str">
            <v>Sptcia. Operacion Area Seca</v>
          </cell>
          <cell r="Y15" t="str">
            <v>Operativo</v>
          </cell>
          <cell r="Z15" t="str">
            <v>Indefinido</v>
          </cell>
        </row>
        <row r="16">
          <cell r="A16" t="str">
            <v>300630</v>
          </cell>
          <cell r="B16" t="str">
            <v>146027342</v>
          </cell>
          <cell r="C16" t="str">
            <v>AGUILERA PÉREZ JOSÉ ALFREDO</v>
          </cell>
          <cell r="D16" t="str">
            <v>Ing. Turno Op. Ripios</v>
          </cell>
          <cell r="E16" t="str">
            <v>Oper. 7X7 12 Hrs TAB G01</v>
          </cell>
          <cell r="F16" t="str">
            <v>Masculino</v>
          </cell>
          <cell r="G16" t="str">
            <v>JAGUI067@CODELCO.CL</v>
          </cell>
          <cell r="H16">
            <v>45</v>
          </cell>
          <cell r="I16">
            <v>44166</v>
          </cell>
          <cell r="J16">
            <v>44146</v>
          </cell>
          <cell r="K16" t="str">
            <v>#</v>
          </cell>
          <cell r="L16">
            <v>45931</v>
          </cell>
          <cell r="M16">
            <v>44166</v>
          </cell>
          <cell r="N16">
            <v>44146</v>
          </cell>
          <cell r="O16">
            <v>44146</v>
          </cell>
          <cell r="P16">
            <v>48419</v>
          </cell>
          <cell r="Q16">
            <v>44166</v>
          </cell>
          <cell r="R16">
            <v>6</v>
          </cell>
          <cell r="S16">
            <v>44166</v>
          </cell>
          <cell r="T16" t="str">
            <v>VILLARROEL FERNÁNDEZ IGNACIO ANTONIO</v>
          </cell>
          <cell r="U16" t="str">
            <v>IVILL015@CODELCO.CL</v>
          </cell>
          <cell r="V16" t="str">
            <v>Gerencia de Operaciones</v>
          </cell>
          <cell r="W16" t="str">
            <v>Sptcia. Operacion Area Seca</v>
          </cell>
          <cell r="X16" t="str">
            <v>Sptcia. Operacion Area Seca</v>
          </cell>
          <cell r="Y16" t="str">
            <v>Profesional</v>
          </cell>
          <cell r="Z16" t="str">
            <v>Indefinido</v>
          </cell>
        </row>
        <row r="17">
          <cell r="A17" t="str">
            <v>300686</v>
          </cell>
          <cell r="B17" t="str">
            <v>181837802</v>
          </cell>
          <cell r="C17" t="str">
            <v>ESTAY ARAYA SERGIO JORDAN</v>
          </cell>
          <cell r="D17" t="str">
            <v>Operador Planta AH</v>
          </cell>
          <cell r="E17" t="str">
            <v>Oper. 7X7 12 Hrs TAB G04</v>
          </cell>
          <cell r="F17" t="str">
            <v>Masculino</v>
          </cell>
          <cell r="G17" t="str">
            <v>SESTA003@CODELCO.CL</v>
          </cell>
          <cell r="H17">
            <v>33</v>
          </cell>
          <cell r="I17">
            <v>44193</v>
          </cell>
          <cell r="J17">
            <v>44547</v>
          </cell>
          <cell r="K17" t="str">
            <v>#</v>
          </cell>
          <cell r="L17">
            <v>44193</v>
          </cell>
          <cell r="M17">
            <v>44193</v>
          </cell>
          <cell r="N17">
            <v>44547</v>
          </cell>
          <cell r="O17">
            <v>44182</v>
          </cell>
          <cell r="P17">
            <v>56336</v>
          </cell>
          <cell r="Q17">
            <v>44193</v>
          </cell>
          <cell r="R17">
            <v>5</v>
          </cell>
          <cell r="S17">
            <v>44193</v>
          </cell>
          <cell r="T17" t="str">
            <v>CORREA MENDOZA CAMILA</v>
          </cell>
          <cell r="U17" t="str">
            <v>CCORR014@CODELCO.CL</v>
          </cell>
          <cell r="V17" t="str">
            <v>Gerencia de Operaciones</v>
          </cell>
          <cell r="W17" t="str">
            <v>Sptcia. Operacion Area Hum.</v>
          </cell>
          <cell r="X17" t="str">
            <v>Sptcia. Operacion Area Hum.</v>
          </cell>
          <cell r="Y17" t="str">
            <v>Operativo</v>
          </cell>
          <cell r="Z17" t="str">
            <v>Indefinido</v>
          </cell>
        </row>
        <row r="18">
          <cell r="A18" t="str">
            <v>300687</v>
          </cell>
          <cell r="B18" t="str">
            <v>171578787</v>
          </cell>
          <cell r="C18" t="str">
            <v>SILVA ARIAS MIGUEL ANGEL</v>
          </cell>
          <cell r="D18" t="str">
            <v>Operador Planta AS</v>
          </cell>
          <cell r="E18" t="str">
            <v>Oper. 7X7 12 Hrs TAB G01</v>
          </cell>
          <cell r="F18" t="str">
            <v>Masculino</v>
          </cell>
          <cell r="G18" t="str">
            <v>MSILV061@CODELCO.CL</v>
          </cell>
          <cell r="H18">
            <v>37</v>
          </cell>
          <cell r="I18">
            <v>44193</v>
          </cell>
          <cell r="J18">
            <v>44531</v>
          </cell>
          <cell r="K18" t="str">
            <v>#</v>
          </cell>
          <cell r="L18">
            <v>44193</v>
          </cell>
          <cell r="M18">
            <v>44193</v>
          </cell>
          <cell r="N18">
            <v>45163</v>
          </cell>
          <cell r="O18">
            <v>45163</v>
          </cell>
          <cell r="P18">
            <v>44531</v>
          </cell>
          <cell r="Q18">
            <v>44193</v>
          </cell>
          <cell r="R18">
            <v>5</v>
          </cell>
          <cell r="S18">
            <v>44193</v>
          </cell>
          <cell r="T18" t="str">
            <v>CORTES MOYANO CAMILA</v>
          </cell>
          <cell r="U18" t="str">
            <v>CCORT068@CODELCO.CL</v>
          </cell>
          <cell r="V18" t="str">
            <v>Gerencia de Operaciones</v>
          </cell>
          <cell r="W18" t="str">
            <v>Sptcia. Operacion Area Seca</v>
          </cell>
          <cell r="X18" t="str">
            <v>Sptcia. Operacion Area Seca</v>
          </cell>
          <cell r="Y18" t="str">
            <v>Operativo</v>
          </cell>
          <cell r="Z18" t="str">
            <v>Indefinido</v>
          </cell>
        </row>
        <row r="19">
          <cell r="A19" t="str">
            <v>300688</v>
          </cell>
          <cell r="B19" t="str">
            <v>188275508</v>
          </cell>
          <cell r="C19" t="str">
            <v>AGUILERA BUSTOS FELIPE IGNACIO</v>
          </cell>
          <cell r="D19" t="str">
            <v>Operador Planta AH</v>
          </cell>
          <cell r="E19" t="str">
            <v>Oper. 7X7 12 Hrs TAB G04</v>
          </cell>
          <cell r="F19" t="str">
            <v>Masculino</v>
          </cell>
          <cell r="G19" t="str">
            <v>FAGUI026@CODELCO.CL</v>
          </cell>
          <cell r="H19">
            <v>32</v>
          </cell>
          <cell r="I19">
            <v>44193</v>
          </cell>
          <cell r="J19">
            <v>44181</v>
          </cell>
          <cell r="K19" t="str">
            <v>#</v>
          </cell>
          <cell r="L19">
            <v>44193</v>
          </cell>
          <cell r="M19">
            <v>44193</v>
          </cell>
          <cell r="N19">
            <v>44181</v>
          </cell>
          <cell r="O19">
            <v>44181</v>
          </cell>
          <cell r="P19">
            <v>55191</v>
          </cell>
          <cell r="Q19">
            <v>44193</v>
          </cell>
          <cell r="R19">
            <v>5</v>
          </cell>
          <cell r="S19">
            <v>44193</v>
          </cell>
          <cell r="T19" t="str">
            <v>CORREA MENDOZA CAMILA</v>
          </cell>
          <cell r="U19" t="str">
            <v>CCORR014@CODELCO.CL</v>
          </cell>
          <cell r="V19" t="str">
            <v>Gerencia de Operaciones</v>
          </cell>
          <cell r="W19" t="str">
            <v>Sptcia. Operacion Area Hum.</v>
          </cell>
          <cell r="X19" t="str">
            <v>Sptcia. Operacion Area Hum.</v>
          </cell>
          <cell r="Y19" t="str">
            <v>Operativo</v>
          </cell>
          <cell r="Z19" t="str">
            <v>Indefinido</v>
          </cell>
        </row>
        <row r="20">
          <cell r="A20" t="str">
            <v>300689</v>
          </cell>
          <cell r="B20" t="str">
            <v>169785309</v>
          </cell>
          <cell r="C20" t="str">
            <v>GUTIERREZ CARVAJAL RODRIGO ANDRES</v>
          </cell>
          <cell r="D20" t="str">
            <v>Operador Planta AH</v>
          </cell>
          <cell r="E20" t="str">
            <v>Oper. 7X7 12 Hrs TAB A05</v>
          </cell>
          <cell r="F20" t="str">
            <v>Masculino</v>
          </cell>
          <cell r="G20" t="str">
            <v>RGUTI019@CODELCO.CL</v>
          </cell>
          <cell r="H20">
            <v>37</v>
          </cell>
          <cell r="I20">
            <v>44193</v>
          </cell>
          <cell r="J20">
            <v>44181</v>
          </cell>
          <cell r="K20" t="str">
            <v>#</v>
          </cell>
          <cell r="L20">
            <v>44193</v>
          </cell>
          <cell r="M20">
            <v>44193</v>
          </cell>
          <cell r="N20">
            <v>44181</v>
          </cell>
          <cell r="O20">
            <v>44181</v>
          </cell>
          <cell r="P20">
            <v>55191</v>
          </cell>
          <cell r="Q20">
            <v>44193</v>
          </cell>
          <cell r="R20">
            <v>5</v>
          </cell>
          <cell r="S20">
            <v>44193</v>
          </cell>
          <cell r="T20" t="str">
            <v>NAVARRO CARVAJAL JUAN FRANCISCO</v>
          </cell>
          <cell r="U20" t="str">
            <v>JNAVA020@CODELCO.CL</v>
          </cell>
          <cell r="V20" t="str">
            <v>Gerencia de Operaciones</v>
          </cell>
          <cell r="W20" t="str">
            <v>Sptcia. Operacion Area Hum.</v>
          </cell>
          <cell r="X20" t="str">
            <v>Sptcia. Operacion Area Hum.</v>
          </cell>
          <cell r="Y20" t="str">
            <v>Operativo</v>
          </cell>
          <cell r="Z20" t="str">
            <v>Indefinido</v>
          </cell>
        </row>
        <row r="21">
          <cell r="A21" t="str">
            <v>300716</v>
          </cell>
          <cell r="B21" t="str">
            <v>171327210</v>
          </cell>
          <cell r="C21" t="str">
            <v>ROSAS PIMENTEL MICHAEL ALEXANDER</v>
          </cell>
          <cell r="D21" t="str">
            <v>Ingeniero Planificación Suministro</v>
          </cell>
          <cell r="E21" t="str">
            <v>Prof. 4X3 12 hrs</v>
          </cell>
          <cell r="F21" t="str">
            <v>Masculino</v>
          </cell>
          <cell r="G21" t="str">
            <v>MROSA006@CODELCO.CL</v>
          </cell>
          <cell r="H21">
            <v>37</v>
          </cell>
          <cell r="I21">
            <v>45748</v>
          </cell>
          <cell r="J21">
            <v>45748</v>
          </cell>
          <cell r="K21" t="str">
            <v>#</v>
          </cell>
          <cell r="L21">
            <v>45748</v>
          </cell>
          <cell r="M21">
            <v>45748</v>
          </cell>
          <cell r="N21">
            <v>45748</v>
          </cell>
          <cell r="O21">
            <v>45748</v>
          </cell>
          <cell r="P21">
            <v>56339</v>
          </cell>
          <cell r="Q21">
            <v>45748</v>
          </cell>
          <cell r="R21">
            <v>1</v>
          </cell>
          <cell r="S21">
            <v>45748</v>
          </cell>
          <cell r="T21" t="str">
            <v>ALVARADO ROMERO ADRIAN</v>
          </cell>
          <cell r="U21" t="str">
            <v>AALVA034@CODELCO.CL</v>
          </cell>
          <cell r="V21" t="str">
            <v>Gerencia de Administración</v>
          </cell>
          <cell r="W21" t="str">
            <v>Supte. Proyectos, Infra. y Suministros</v>
          </cell>
          <cell r="X21" t="str">
            <v>Supte. Proyectos, Infra. y Suministros</v>
          </cell>
          <cell r="Y21" t="str">
            <v>Profesional</v>
          </cell>
          <cell r="Z21" t="str">
            <v>Indefinido</v>
          </cell>
        </row>
        <row r="22">
          <cell r="A22" t="str">
            <v>300718</v>
          </cell>
          <cell r="B22" t="str">
            <v>158169479</v>
          </cell>
          <cell r="C22" t="str">
            <v>GOMEZ AGUILAR VICTOR FELIPE</v>
          </cell>
          <cell r="D22" t="str">
            <v>Ingeniero/a Especialista Excelencia Oper</v>
          </cell>
          <cell r="E22" t="str">
            <v>Prof. 4X3 12 hrs</v>
          </cell>
          <cell r="F22" t="str">
            <v>Masculino</v>
          </cell>
          <cell r="G22" t="str">
            <v>VGOME004@CODELCO.CL</v>
          </cell>
          <cell r="H22">
            <v>42</v>
          </cell>
          <cell r="I22">
            <v>44200</v>
          </cell>
          <cell r="J22">
            <v>45691</v>
          </cell>
          <cell r="K22" t="str">
            <v>#</v>
          </cell>
          <cell r="L22">
            <v>45597</v>
          </cell>
          <cell r="M22">
            <v>44200</v>
          </cell>
          <cell r="N22">
            <v>43633</v>
          </cell>
          <cell r="O22">
            <v>45078</v>
          </cell>
          <cell r="P22">
            <v>52469</v>
          </cell>
          <cell r="Q22">
            <v>44200</v>
          </cell>
          <cell r="R22">
            <v>5</v>
          </cell>
          <cell r="S22">
            <v>44200</v>
          </cell>
          <cell r="T22" t="str">
            <v>VENEGAS MILLONES GABRIELA PATRICIA</v>
          </cell>
          <cell r="U22" t="str">
            <v>GVENE001@CODELCO.CL</v>
          </cell>
          <cell r="V22" t="str">
            <v>Gerencia General División G. Mistral</v>
          </cell>
          <cell r="W22" t="str">
            <v>Sin asignar</v>
          </cell>
          <cell r="X22" t="str">
            <v>Gerencia General División G. Mistral</v>
          </cell>
          <cell r="Y22" t="str">
            <v>Profesional</v>
          </cell>
          <cell r="Z22" t="str">
            <v>Indefinido</v>
          </cell>
        </row>
        <row r="23">
          <cell r="A23" t="str">
            <v>300757</v>
          </cell>
          <cell r="B23" t="str">
            <v>016277493K</v>
          </cell>
          <cell r="C23" t="str">
            <v>TOBAR BUSTAMANTE ESTEFANY ANDREA</v>
          </cell>
          <cell r="D23" t="str">
            <v>Ingeniero Tronadura</v>
          </cell>
          <cell r="E23" t="str">
            <v>Prof. 4X3 12 hrs</v>
          </cell>
          <cell r="F23" t="str">
            <v>Femenino</v>
          </cell>
          <cell r="G23" t="str">
            <v>ETOBA005@CODELCO.CL</v>
          </cell>
          <cell r="H23">
            <v>40</v>
          </cell>
          <cell r="I23">
            <v>44214</v>
          </cell>
          <cell r="J23">
            <v>44561</v>
          </cell>
          <cell r="K23" t="str">
            <v>#</v>
          </cell>
          <cell r="L23">
            <v>44214</v>
          </cell>
          <cell r="M23">
            <v>44214</v>
          </cell>
          <cell r="N23">
            <v>44561</v>
          </cell>
          <cell r="O23">
            <v>44202</v>
          </cell>
          <cell r="P23">
            <v>53511</v>
          </cell>
          <cell r="Q23">
            <v>44214</v>
          </cell>
          <cell r="R23">
            <v>5</v>
          </cell>
          <cell r="S23">
            <v>44214</v>
          </cell>
          <cell r="T23" t="str">
            <v>SARMIENTO RODRIGUEZ MARCOS</v>
          </cell>
          <cell r="U23" t="str">
            <v>MSARM001@CODELCO.CL</v>
          </cell>
          <cell r="V23" t="str">
            <v>Gerencia de Operaciones</v>
          </cell>
          <cell r="W23" t="str">
            <v>Sptcia. Operacion Mina</v>
          </cell>
          <cell r="X23" t="str">
            <v>Sptcia. Operacion Mina</v>
          </cell>
          <cell r="Y23" t="str">
            <v>Profesional</v>
          </cell>
          <cell r="Z23" t="str">
            <v>Indefinido</v>
          </cell>
        </row>
        <row r="24">
          <cell r="A24" t="str">
            <v>300770</v>
          </cell>
          <cell r="B24" t="str">
            <v>156460109</v>
          </cell>
          <cell r="C24" t="str">
            <v>COLIPI ANCAMILLA ALEX ENRIQUE</v>
          </cell>
          <cell r="D24" t="str">
            <v>Operador Chancado y Apilamiento</v>
          </cell>
          <cell r="E24" t="str">
            <v>Oper. 7X7 12 Hrs TAB G04</v>
          </cell>
          <cell r="F24" t="str">
            <v>Masculino</v>
          </cell>
          <cell r="G24" t="str">
            <v>ACOLI002@CODELCO.CL</v>
          </cell>
          <cell r="H24">
            <v>43</v>
          </cell>
          <cell r="I24">
            <v>44214</v>
          </cell>
          <cell r="J24">
            <v>44561</v>
          </cell>
          <cell r="K24" t="str">
            <v>10</v>
          </cell>
          <cell r="L24">
            <v>45778</v>
          </cell>
          <cell r="M24">
            <v>44214</v>
          </cell>
          <cell r="N24">
            <v>44561</v>
          </cell>
          <cell r="O24">
            <v>44202</v>
          </cell>
          <cell r="P24">
            <v>53511</v>
          </cell>
          <cell r="Q24">
            <v>44214</v>
          </cell>
          <cell r="R24">
            <v>5</v>
          </cell>
          <cell r="S24">
            <v>44214</v>
          </cell>
          <cell r="T24" t="str">
            <v>ARAYA JAIME VALESKA</v>
          </cell>
          <cell r="U24" t="str">
            <v>VARAY013@CODELCO.CL</v>
          </cell>
          <cell r="V24" t="str">
            <v>Gerencia de Operaciones</v>
          </cell>
          <cell r="W24" t="str">
            <v>Sptcia. Operacion Area Seca</v>
          </cell>
          <cell r="X24" t="str">
            <v>Sptcia. Operacion Area Seca</v>
          </cell>
          <cell r="Y24" t="str">
            <v>Operativo</v>
          </cell>
          <cell r="Z24" t="str">
            <v>Indefinido</v>
          </cell>
        </row>
        <row r="25">
          <cell r="A25" t="str">
            <v>300870</v>
          </cell>
          <cell r="B25" t="str">
            <v>185313980</v>
          </cell>
          <cell r="C25" t="str">
            <v>VILLARROEL FERNÁNDEZ IGNACIO ANTONIO</v>
          </cell>
          <cell r="D25" t="str">
            <v>Ing. Especialista Op. y Mtto. Ripios</v>
          </cell>
          <cell r="E25" t="str">
            <v>Prof. 4X3 12 hrs</v>
          </cell>
          <cell r="F25" t="str">
            <v>Masculino</v>
          </cell>
          <cell r="G25" t="str">
            <v>IVILL015@CODELCO.CL</v>
          </cell>
          <cell r="H25">
            <v>32</v>
          </cell>
          <cell r="I25">
            <v>44593</v>
          </cell>
          <cell r="J25">
            <v>45839</v>
          </cell>
          <cell r="K25" t="str">
            <v>6</v>
          </cell>
          <cell r="L25">
            <v>45839</v>
          </cell>
          <cell r="M25">
            <v>44593</v>
          </cell>
          <cell r="N25">
            <v>42186</v>
          </cell>
          <cell r="O25">
            <v>45839</v>
          </cell>
          <cell r="P25">
            <v>53738</v>
          </cell>
          <cell r="Q25">
            <v>44242</v>
          </cell>
          <cell r="R25">
            <v>4</v>
          </cell>
          <cell r="S25">
            <v>44593</v>
          </cell>
          <cell r="T25" t="str">
            <v>LAU Olmos EDUARDO</v>
          </cell>
          <cell r="U25" t="str">
            <v>ELAU@CODELCO.CL</v>
          </cell>
          <cell r="V25" t="str">
            <v>Gerencia de Operaciones</v>
          </cell>
          <cell r="W25" t="str">
            <v>Sptcia. Operacion Area Seca</v>
          </cell>
          <cell r="X25" t="str">
            <v>Sptcia. Operacion Area Seca</v>
          </cell>
          <cell r="Y25" t="str">
            <v>Profesional</v>
          </cell>
          <cell r="Z25" t="str">
            <v>Indefinido</v>
          </cell>
        </row>
        <row r="26">
          <cell r="A26" t="str">
            <v>300871</v>
          </cell>
          <cell r="B26" t="str">
            <v>183577808</v>
          </cell>
          <cell r="C26" t="str">
            <v>GUTIÉRREZ VALENCIA JAVIERA PAZ</v>
          </cell>
          <cell r="D26" t="str">
            <v>Ing. Especialista Mtto. Mecanico</v>
          </cell>
          <cell r="E26" t="str">
            <v>Prof. 4X3 12 hrs</v>
          </cell>
          <cell r="F26" t="str">
            <v>Femenino</v>
          </cell>
          <cell r="G26" t="str">
            <v>JGUTI050@CODELCO.CL</v>
          </cell>
          <cell r="H26">
            <v>33</v>
          </cell>
          <cell r="I26">
            <v>44593</v>
          </cell>
          <cell r="J26">
            <v>45870</v>
          </cell>
          <cell r="K26" t="str">
            <v>6</v>
          </cell>
          <cell r="L26">
            <v>45870</v>
          </cell>
          <cell r="M26">
            <v>44593</v>
          </cell>
          <cell r="N26">
            <v>45894</v>
          </cell>
          <cell r="O26">
            <v>45894</v>
          </cell>
          <cell r="P26">
            <v>53827</v>
          </cell>
          <cell r="Q26">
            <v>44242</v>
          </cell>
          <cell r="R26">
            <v>4</v>
          </cell>
          <cell r="S26">
            <v>44593</v>
          </cell>
          <cell r="T26" t="str">
            <v>SOTO YUNGE CARLOS</v>
          </cell>
          <cell r="U26" t="str">
            <v>CSOTO073@CODELCO.CL</v>
          </cell>
          <cell r="V26" t="str">
            <v>Gerencia de Mantenimiento</v>
          </cell>
          <cell r="W26" t="str">
            <v>Sptcia. Mtto. Area Seca</v>
          </cell>
          <cell r="X26" t="str">
            <v>Sptcia. Mtto. Area Seca</v>
          </cell>
          <cell r="Y26" t="str">
            <v>Profesional</v>
          </cell>
          <cell r="Z26" t="str">
            <v>Indefinido</v>
          </cell>
        </row>
        <row r="27">
          <cell r="A27" t="str">
            <v>300872</v>
          </cell>
          <cell r="B27" t="str">
            <v>183767828</v>
          </cell>
          <cell r="C27" t="str">
            <v>ROJAS ESPINOZA MELISSA DEL CARMEN</v>
          </cell>
          <cell r="D27" t="str">
            <v>Ingeniero Operacion Área Humeda</v>
          </cell>
          <cell r="E27" t="str">
            <v>Oper. 7X7 12 Hrs TAB G01</v>
          </cell>
          <cell r="F27" t="str">
            <v>Femenino</v>
          </cell>
          <cell r="G27" t="str">
            <v>MROJA134@CODELCO.CL</v>
          </cell>
          <cell r="H27">
            <v>32</v>
          </cell>
          <cell r="I27">
            <v>44593</v>
          </cell>
          <cell r="J27">
            <v>44713</v>
          </cell>
          <cell r="K27" t="str">
            <v>#</v>
          </cell>
          <cell r="L27">
            <v>45597</v>
          </cell>
          <cell r="M27">
            <v>44593</v>
          </cell>
          <cell r="N27">
            <v>43619</v>
          </cell>
          <cell r="O27">
            <v>43619</v>
          </cell>
          <cell r="P27">
            <v>43619</v>
          </cell>
          <cell r="Q27">
            <v>44242</v>
          </cell>
          <cell r="R27">
            <v>4</v>
          </cell>
          <cell r="S27">
            <v>44593</v>
          </cell>
          <cell r="T27" t="str">
            <v>RETAMAL ORTIZ JORGE</v>
          </cell>
          <cell r="U27" t="str">
            <v>JRETA003@CODELCO.CL</v>
          </cell>
          <cell r="V27" t="str">
            <v>Gerencia de Operaciones</v>
          </cell>
          <cell r="W27" t="str">
            <v>Sptcia. Operacion Area Hum.</v>
          </cell>
          <cell r="X27" t="str">
            <v>Sptcia. Operacion Area Hum.</v>
          </cell>
          <cell r="Y27" t="str">
            <v>Profesional</v>
          </cell>
          <cell r="Z27" t="str">
            <v>Indefinido</v>
          </cell>
        </row>
        <row r="28">
          <cell r="A28" t="str">
            <v>300874</v>
          </cell>
          <cell r="B28" t="str">
            <v>182595667</v>
          </cell>
          <cell r="C28" t="str">
            <v>IBACETA FUENTES RODRIGO IGNACIO</v>
          </cell>
          <cell r="D28" t="str">
            <v>Ingeniero de Procesos</v>
          </cell>
          <cell r="E28" t="str">
            <v>Prof. 4X3 12 hrs</v>
          </cell>
          <cell r="F28" t="str">
            <v>Masculino</v>
          </cell>
          <cell r="G28" t="str">
            <v>RIBAC005@CODELCO.CL</v>
          </cell>
          <cell r="H28">
            <v>33</v>
          </cell>
          <cell r="I28">
            <v>44593</v>
          </cell>
          <cell r="J28">
            <v>45078</v>
          </cell>
          <cell r="K28" t="str">
            <v>#</v>
          </cell>
          <cell r="L28">
            <v>45231</v>
          </cell>
          <cell r="M28">
            <v>44593</v>
          </cell>
          <cell r="N28">
            <v>44817</v>
          </cell>
          <cell r="O28">
            <v>44817</v>
          </cell>
          <cell r="P28">
            <v>56831</v>
          </cell>
          <cell r="Q28">
            <v>44242</v>
          </cell>
          <cell r="R28">
            <v>4</v>
          </cell>
          <cell r="S28">
            <v>44593</v>
          </cell>
          <cell r="T28" t="str">
            <v>VARGAS SANHUEZA MANUEL</v>
          </cell>
          <cell r="U28" t="str">
            <v>MVARG013@CODELCO.CL</v>
          </cell>
          <cell r="V28" t="str">
            <v>Gerencia de Operaciones</v>
          </cell>
          <cell r="W28" t="str">
            <v>Sptcia. Ingeniería de Procesos</v>
          </cell>
          <cell r="X28" t="str">
            <v>Sptcia. Ingeniería de Procesos</v>
          </cell>
          <cell r="Y28" t="str">
            <v>Profesional</v>
          </cell>
          <cell r="Z28" t="str">
            <v>Indefinido</v>
          </cell>
        </row>
        <row r="29">
          <cell r="A29" t="str">
            <v>300876</v>
          </cell>
          <cell r="B29" t="str">
            <v>191688015</v>
          </cell>
          <cell r="C29" t="str">
            <v>PARRA QUIROZ VALENTINA ALEJANDRA</v>
          </cell>
          <cell r="D29" t="str">
            <v>Ingeniero Senior Planif. Planta y Comerc</v>
          </cell>
          <cell r="E29" t="str">
            <v>Prof. 4X3 12 hrs</v>
          </cell>
          <cell r="F29" t="str">
            <v>Femenino</v>
          </cell>
          <cell r="G29" t="str">
            <v>VPARR006@CODELCO.CL</v>
          </cell>
          <cell r="H29">
            <v>30</v>
          </cell>
          <cell r="I29">
            <v>44593</v>
          </cell>
          <cell r="J29">
            <v>45536</v>
          </cell>
          <cell r="K29" t="str">
            <v>6</v>
          </cell>
          <cell r="L29">
            <v>45536</v>
          </cell>
          <cell r="M29">
            <v>44593</v>
          </cell>
          <cell r="N29">
            <v>44896</v>
          </cell>
          <cell r="O29">
            <v>45078</v>
          </cell>
          <cell r="P29">
            <v>67218</v>
          </cell>
          <cell r="Q29">
            <v>44242</v>
          </cell>
          <cell r="R29">
            <v>4</v>
          </cell>
          <cell r="S29">
            <v>44896</v>
          </cell>
          <cell r="T29" t="str">
            <v>ALMEIDA JARA KATHERINE ALEJANDRA</v>
          </cell>
          <cell r="U29" t="str">
            <v>KALMEIDA@CODELCO.CL</v>
          </cell>
          <cell r="V29" t="str">
            <v>Gerencia de Recursos Mineros y Desarr</v>
          </cell>
          <cell r="W29" t="str">
            <v>Superintendencia Planificacion Planta</v>
          </cell>
          <cell r="X29" t="str">
            <v>Superintendencia Planificacion Planta</v>
          </cell>
          <cell r="Y29" t="str">
            <v>Profesional</v>
          </cell>
          <cell r="Z29" t="str">
            <v>Indefinido</v>
          </cell>
        </row>
        <row r="30">
          <cell r="A30" t="str">
            <v>300958</v>
          </cell>
          <cell r="B30" t="str">
            <v>162597701</v>
          </cell>
          <cell r="C30" t="str">
            <v>OSORIO DUARTE MARCO ANTONIO</v>
          </cell>
          <cell r="D30" t="str">
            <v>Ingeniero Especialista Mtto. Ripios</v>
          </cell>
          <cell r="E30" t="str">
            <v>Prof. 4X3 12 hrs</v>
          </cell>
          <cell r="F30" t="str">
            <v>Masculino</v>
          </cell>
          <cell r="G30" t="str">
            <v>MOSOR015@CODELCO.CL</v>
          </cell>
          <cell r="H30">
            <v>39</v>
          </cell>
          <cell r="I30">
            <v>44256</v>
          </cell>
          <cell r="J30">
            <v>45778</v>
          </cell>
          <cell r="K30" t="str">
            <v>6</v>
          </cell>
          <cell r="L30">
            <v>45778</v>
          </cell>
          <cell r="M30">
            <v>44256</v>
          </cell>
          <cell r="N30">
            <v>45778</v>
          </cell>
          <cell r="O30">
            <v>45778</v>
          </cell>
          <cell r="P30">
            <v>51022</v>
          </cell>
          <cell r="Q30">
            <v>44256</v>
          </cell>
          <cell r="R30">
            <v>5</v>
          </cell>
          <cell r="S30">
            <v>44256</v>
          </cell>
          <cell r="T30" t="str">
            <v>SOTO YUNGE CARLOS</v>
          </cell>
          <cell r="U30" t="str">
            <v>CSOTO073@CODELCO.CL</v>
          </cell>
          <cell r="V30" t="str">
            <v>Gerencia de Mantenimiento</v>
          </cell>
          <cell r="W30" t="str">
            <v>Sptcia. Mtto. Area Seca</v>
          </cell>
          <cell r="X30" t="str">
            <v>Sptcia. Mtto. Area Seca</v>
          </cell>
          <cell r="Y30" t="str">
            <v>Profesional</v>
          </cell>
          <cell r="Z30" t="str">
            <v>Indefinido</v>
          </cell>
        </row>
        <row r="31">
          <cell r="A31" t="str">
            <v>300959</v>
          </cell>
          <cell r="B31" t="str">
            <v>140522570</v>
          </cell>
          <cell r="C31" t="str">
            <v>OBREQUE RIOS JOSE PATRICIO</v>
          </cell>
          <cell r="D31" t="str">
            <v>Jefe Moncon y Sist. Control</v>
          </cell>
          <cell r="E31" t="str">
            <v>Prof. 4X3 12 hrs</v>
          </cell>
          <cell r="F31" t="str">
            <v>Masculino</v>
          </cell>
          <cell r="G31" t="str">
            <v>JOBRE001@CODELCO.CL</v>
          </cell>
          <cell r="H31">
            <v>44</v>
          </cell>
          <cell r="I31">
            <v>44256</v>
          </cell>
          <cell r="J31">
            <v>46054</v>
          </cell>
          <cell r="K31" t="str">
            <v>#</v>
          </cell>
          <cell r="L31">
            <v>46054</v>
          </cell>
          <cell r="M31">
            <v>44256</v>
          </cell>
          <cell r="N31">
            <v>43617</v>
          </cell>
          <cell r="O31">
            <v>43617</v>
          </cell>
          <cell r="P31">
            <v>46724</v>
          </cell>
          <cell r="Q31">
            <v>44256</v>
          </cell>
          <cell r="R31">
            <v>5</v>
          </cell>
          <cell r="S31">
            <v>44256</v>
          </cell>
          <cell r="T31" t="str">
            <v>HERRERA CORALES CLAUDIO</v>
          </cell>
          <cell r="U31" t="str">
            <v>CHERR002@CODELCO.CL</v>
          </cell>
          <cell r="V31" t="str">
            <v>Gerencia de Mantenimiento</v>
          </cell>
          <cell r="W31" t="str">
            <v>Superintendencia de Confiabilidad</v>
          </cell>
          <cell r="X31" t="str">
            <v>Superintendencia de Confiabilidad</v>
          </cell>
          <cell r="Y31" t="str">
            <v>Profesional</v>
          </cell>
          <cell r="Z31" t="str">
            <v>Indefinido</v>
          </cell>
        </row>
        <row r="32">
          <cell r="A32" t="str">
            <v>300960</v>
          </cell>
          <cell r="B32" t="str">
            <v>139741625</v>
          </cell>
          <cell r="C32" t="str">
            <v>MICHEA MICHEA CAROLINA ANDREA</v>
          </cell>
          <cell r="D32" t="str">
            <v>Ingeniero Infraestructura</v>
          </cell>
          <cell r="E32" t="str">
            <v>Prof. 4X3 12 hrs</v>
          </cell>
          <cell r="F32" t="str">
            <v>Femenino</v>
          </cell>
          <cell r="G32" t="str">
            <v>CMICH001@CODELCO.CL</v>
          </cell>
          <cell r="H32">
            <v>44</v>
          </cell>
          <cell r="I32">
            <v>44256</v>
          </cell>
          <cell r="J32">
            <v>44927</v>
          </cell>
          <cell r="K32" t="str">
            <v>#</v>
          </cell>
          <cell r="L32">
            <v>44927</v>
          </cell>
          <cell r="M32">
            <v>44256</v>
          </cell>
          <cell r="N32">
            <v>44228</v>
          </cell>
          <cell r="O32">
            <v>44986</v>
          </cell>
          <cell r="P32">
            <v>55577</v>
          </cell>
          <cell r="Q32">
            <v>44256</v>
          </cell>
          <cell r="R32">
            <v>5</v>
          </cell>
          <cell r="S32">
            <v>44256</v>
          </cell>
          <cell r="T32" t="str">
            <v>ONETO GONZALEZ CRISTIAN</v>
          </cell>
          <cell r="U32" t="str">
            <v>CONETO@CODELCO.CL</v>
          </cell>
          <cell r="V32" t="str">
            <v>Gerencia de Administración</v>
          </cell>
          <cell r="W32" t="str">
            <v>Supte. Proyectos, Infra. y Suministros</v>
          </cell>
          <cell r="X32" t="str">
            <v>Supte. Proyectos, Infra. y Suministros</v>
          </cell>
          <cell r="Y32" t="str">
            <v>Profesional</v>
          </cell>
          <cell r="Z32" t="str">
            <v>Indefinido</v>
          </cell>
        </row>
        <row r="33">
          <cell r="A33" t="str">
            <v>300961</v>
          </cell>
          <cell r="B33" t="str">
            <v>016928363K</v>
          </cell>
          <cell r="C33" t="str">
            <v>ROJAS VELIZ MARIO ESTEBAN</v>
          </cell>
          <cell r="D33" t="str">
            <v>Ingeniero/a Proyectos</v>
          </cell>
          <cell r="E33" t="str">
            <v>Oper. 7X7 12 Hrs TAB A05</v>
          </cell>
          <cell r="F33" t="str">
            <v>Masculino</v>
          </cell>
          <cell r="G33" t="str">
            <v>MROJA111@CODELCO.CL</v>
          </cell>
          <cell r="H33">
            <v>37</v>
          </cell>
          <cell r="I33">
            <v>44256</v>
          </cell>
          <cell r="J33">
            <v>45748</v>
          </cell>
          <cell r="K33" t="str">
            <v>8</v>
          </cell>
          <cell r="L33">
            <v>45748</v>
          </cell>
          <cell r="M33">
            <v>44256</v>
          </cell>
          <cell r="N33">
            <v>45748</v>
          </cell>
          <cell r="O33">
            <v>45689</v>
          </cell>
          <cell r="P33">
            <v>51824</v>
          </cell>
          <cell r="Q33">
            <v>45748</v>
          </cell>
          <cell r="R33">
            <v>5</v>
          </cell>
          <cell r="S33">
            <v>45748</v>
          </cell>
          <cell r="T33" t="str">
            <v>JARA FARIÑA JORGE GUILLERMO</v>
          </cell>
          <cell r="U33" t="str">
            <v>JJARA027@CODELCO.CL</v>
          </cell>
          <cell r="V33" t="str">
            <v>Gerencia de Administración</v>
          </cell>
          <cell r="W33" t="str">
            <v>Supte. Proyectos, Infra. y Suministros</v>
          </cell>
          <cell r="X33" t="str">
            <v>Supte. Proyectos, Infra. y Suministros</v>
          </cell>
          <cell r="Y33" t="str">
            <v>Profesional</v>
          </cell>
          <cell r="Z33" t="str">
            <v>Indefinido</v>
          </cell>
        </row>
        <row r="34">
          <cell r="A34" t="str">
            <v>300962</v>
          </cell>
          <cell r="B34" t="str">
            <v>137434253</v>
          </cell>
          <cell r="C34" t="str">
            <v>SANTANDER CEREZO KATHERINE DE LOS ANGELE</v>
          </cell>
          <cell r="D34" t="str">
            <v>Experto Prev. Riesgos</v>
          </cell>
          <cell r="E34" t="str">
            <v>Oper. 7X7 12 Hrs TAB A05</v>
          </cell>
          <cell r="F34" t="str">
            <v>Femenino</v>
          </cell>
          <cell r="G34" t="str">
            <v>KSANTAND@CODELCO.CL</v>
          </cell>
          <cell r="H34">
            <v>46</v>
          </cell>
          <cell r="I34">
            <v>44256</v>
          </cell>
          <cell r="J34">
            <v>44256</v>
          </cell>
          <cell r="K34" t="str">
            <v>9</v>
          </cell>
          <cell r="L34">
            <v>45597</v>
          </cell>
          <cell r="M34">
            <v>44256</v>
          </cell>
          <cell r="N34">
            <v>44256</v>
          </cell>
          <cell r="O34">
            <v>44256</v>
          </cell>
          <cell r="P34">
            <v>55213</v>
          </cell>
          <cell r="Q34">
            <v>44256</v>
          </cell>
          <cell r="R34">
            <v>5</v>
          </cell>
          <cell r="S34">
            <v>44256</v>
          </cell>
          <cell r="T34" t="str">
            <v>MOLGAS ZEPEDA MARCOS BENJAMIN</v>
          </cell>
          <cell r="U34" t="str">
            <v>MMOLG001@CODELCO.CL</v>
          </cell>
          <cell r="V34" t="str">
            <v>Gerencia de Seguridad y Salud Ocup.</v>
          </cell>
          <cell r="W34" t="str">
            <v>Direccion de Seguridad</v>
          </cell>
          <cell r="X34" t="str">
            <v>Direccion de Seguridad</v>
          </cell>
          <cell r="Y34" t="str">
            <v>Profesional</v>
          </cell>
          <cell r="Z34" t="str">
            <v>Indefinido</v>
          </cell>
        </row>
        <row r="35">
          <cell r="A35" t="str">
            <v>301008</v>
          </cell>
          <cell r="B35" t="str">
            <v>104512941</v>
          </cell>
          <cell r="C35" t="str">
            <v>TURCHAN REYES LEYLA VIVIANA VANESSA</v>
          </cell>
          <cell r="D35" t="str">
            <v>Especialista Divisional de Remuneracione</v>
          </cell>
          <cell r="E35" t="str">
            <v>Prof. 4X3 12 hrs</v>
          </cell>
          <cell r="F35" t="str">
            <v>Femenino</v>
          </cell>
          <cell r="G35" t="str">
            <v>LTURC001@CODELCO.CL</v>
          </cell>
          <cell r="H35">
            <v>51</v>
          </cell>
          <cell r="I35">
            <v>45261</v>
          </cell>
          <cell r="J35">
            <v>45261</v>
          </cell>
          <cell r="K35" t="str">
            <v>#</v>
          </cell>
          <cell r="L35">
            <v>45261</v>
          </cell>
          <cell r="M35">
            <v>45261</v>
          </cell>
          <cell r="N35">
            <v>45261</v>
          </cell>
          <cell r="O35">
            <v>45261</v>
          </cell>
          <cell r="P35">
            <v>49442</v>
          </cell>
          <cell r="Q35">
            <v>44270</v>
          </cell>
          <cell r="R35">
            <v>3</v>
          </cell>
          <cell r="S35">
            <v>45261</v>
          </cell>
          <cell r="T35" t="str">
            <v>RODRIGUEZ JEMIO ROSARIO DEL CARMEN</v>
          </cell>
          <cell r="U35" t="str">
            <v>RRODR006@CODELCO.CL</v>
          </cell>
          <cell r="V35" t="str">
            <v>Gerencia de Administración</v>
          </cell>
          <cell r="W35" t="str">
            <v>Direccion de Contabilidad</v>
          </cell>
          <cell r="X35" t="str">
            <v>Direccion de Contabilidad</v>
          </cell>
          <cell r="Y35" t="str">
            <v>Profesional</v>
          </cell>
          <cell r="Z35" t="str">
            <v>Indefinido</v>
          </cell>
        </row>
        <row r="36">
          <cell r="A36" t="str">
            <v>301036</v>
          </cell>
          <cell r="B36" t="str">
            <v>018810665K</v>
          </cell>
          <cell r="C36" t="str">
            <v>DELGADO CASTILLO SEBASTIÁN FELIPE</v>
          </cell>
          <cell r="D36" t="str">
            <v>Ingeniero Esp. Confiabilidad Correas</v>
          </cell>
          <cell r="E36" t="str">
            <v>Oper. 7X7 12 Hrs TAB A05</v>
          </cell>
          <cell r="F36" t="str">
            <v>Masculino</v>
          </cell>
          <cell r="G36" t="str">
            <v>SDELG003@CODELCO.CL</v>
          </cell>
          <cell r="H36">
            <v>32</v>
          </cell>
          <cell r="I36">
            <v>44287</v>
          </cell>
          <cell r="J36">
            <v>45748</v>
          </cell>
          <cell r="K36" t="str">
            <v>#</v>
          </cell>
          <cell r="L36">
            <v>45748</v>
          </cell>
          <cell r="M36">
            <v>44287</v>
          </cell>
          <cell r="N36">
            <v>40057</v>
          </cell>
          <cell r="O36">
            <v>45047</v>
          </cell>
          <cell r="P36">
            <v>49512</v>
          </cell>
          <cell r="Q36">
            <v>44287</v>
          </cell>
          <cell r="R36">
            <v>5</v>
          </cell>
          <cell r="S36">
            <v>44287</v>
          </cell>
          <cell r="T36" t="str">
            <v>HERRERA CORALES CLAUDIO</v>
          </cell>
          <cell r="U36" t="str">
            <v>CHERR002@CODELCO.CL</v>
          </cell>
          <cell r="V36" t="str">
            <v>Gerencia de Mantenimiento</v>
          </cell>
          <cell r="W36" t="str">
            <v>Superintendencia de Confiabilidad</v>
          </cell>
          <cell r="X36" t="str">
            <v>Superintendencia de Confiabilidad</v>
          </cell>
          <cell r="Y36" t="str">
            <v>Profesional</v>
          </cell>
          <cell r="Z36" t="str">
            <v>Indefinido</v>
          </cell>
        </row>
        <row r="37">
          <cell r="A37" t="str">
            <v>301044</v>
          </cell>
          <cell r="B37" t="str">
            <v>107219935</v>
          </cell>
          <cell r="C37" t="str">
            <v>DONOSO NOGALES PEDRO ARNOLDO</v>
          </cell>
          <cell r="D37" t="str">
            <v>Jefe Funcional Planif. Mantenimiento</v>
          </cell>
          <cell r="E37" t="str">
            <v>Prof. 4X3 12 hrs</v>
          </cell>
          <cell r="F37" t="str">
            <v>Masculino</v>
          </cell>
          <cell r="G37" t="str">
            <v>PDONO007@CODELCO.CL</v>
          </cell>
          <cell r="H37">
            <v>55</v>
          </cell>
          <cell r="I37">
            <v>44287</v>
          </cell>
          <cell r="J37">
            <v>45200</v>
          </cell>
          <cell r="K37" t="str">
            <v>6</v>
          </cell>
          <cell r="L37">
            <v>45200</v>
          </cell>
          <cell r="M37">
            <v>44287</v>
          </cell>
          <cell r="N37">
            <v>43836</v>
          </cell>
          <cell r="O37">
            <v>45200</v>
          </cell>
          <cell r="P37">
            <v>56420</v>
          </cell>
          <cell r="Q37">
            <v>44287</v>
          </cell>
          <cell r="R37">
            <v>5</v>
          </cell>
          <cell r="S37">
            <v>44287</v>
          </cell>
          <cell r="T37" t="str">
            <v>VERA GAJARDO CARLOS ALEXIS</v>
          </cell>
          <cell r="U37" t="str">
            <v>CVERA009@CODELCO.CL</v>
          </cell>
          <cell r="V37" t="str">
            <v>Gerencia de Mantenimiento</v>
          </cell>
          <cell r="W37" t="str">
            <v>Sptcia. Planificacion Mantenimiento</v>
          </cell>
          <cell r="X37" t="str">
            <v>Sptcia. Planificacion Mantenimiento</v>
          </cell>
          <cell r="Y37" t="str">
            <v>Profesional</v>
          </cell>
          <cell r="Z37" t="str">
            <v>Indefinido</v>
          </cell>
        </row>
        <row r="38">
          <cell r="A38" t="str">
            <v>301051</v>
          </cell>
          <cell r="B38" t="str">
            <v>85407627</v>
          </cell>
          <cell r="C38" t="str">
            <v>LISBOA BANDA RODRIGO EUGENIO</v>
          </cell>
          <cell r="D38" t="str">
            <v>Ing. Especialista Taller</v>
          </cell>
          <cell r="E38" t="str">
            <v>Prof. 4X3 12 hrs</v>
          </cell>
          <cell r="F38" t="str">
            <v>Masculino</v>
          </cell>
          <cell r="G38" t="str">
            <v>RLISB001@CODELCO.CL</v>
          </cell>
          <cell r="H38">
            <v>55</v>
          </cell>
          <cell r="I38">
            <v>44298</v>
          </cell>
          <cell r="J38">
            <v>43696</v>
          </cell>
          <cell r="K38" t="str">
            <v>#</v>
          </cell>
          <cell r="L38">
            <v>44298</v>
          </cell>
          <cell r="M38">
            <v>44298</v>
          </cell>
          <cell r="N38">
            <v>43696</v>
          </cell>
          <cell r="O38">
            <v>43696</v>
          </cell>
          <cell r="P38">
            <v>43696</v>
          </cell>
          <cell r="Q38">
            <v>44298</v>
          </cell>
          <cell r="R38">
            <v>5</v>
          </cell>
          <cell r="S38">
            <v>44298</v>
          </cell>
          <cell r="T38" t="str">
            <v>COLLAO FRE HECTOR</v>
          </cell>
          <cell r="U38" t="str">
            <v>HCOLL004@CODELCO.CL</v>
          </cell>
          <cell r="V38" t="str">
            <v>Gerencia de Mantenimiento</v>
          </cell>
          <cell r="W38" t="str">
            <v>Sptcia. Mtto. Mina</v>
          </cell>
          <cell r="X38" t="str">
            <v>Sptcia. Mtto. Mina</v>
          </cell>
          <cell r="Y38" t="str">
            <v>Profesional</v>
          </cell>
          <cell r="Z38" t="str">
            <v>Indefinido</v>
          </cell>
        </row>
        <row r="39">
          <cell r="A39" t="str">
            <v>301052</v>
          </cell>
          <cell r="B39" t="str">
            <v>010398517K</v>
          </cell>
          <cell r="C39" t="str">
            <v>ESPINOZA PEREZ MAURICIO ALEJANDRO</v>
          </cell>
          <cell r="D39" t="str">
            <v>Especialista Operativo</v>
          </cell>
          <cell r="E39" t="str">
            <v>Oper. 7X7 12 Hrs TAB G01</v>
          </cell>
          <cell r="F39" t="str">
            <v>Masculino</v>
          </cell>
          <cell r="G39" t="str">
            <v>MESPI062@CODELCO.CL</v>
          </cell>
          <cell r="H39">
            <v>60</v>
          </cell>
          <cell r="I39">
            <v>44298</v>
          </cell>
          <cell r="J39">
            <v>43696</v>
          </cell>
          <cell r="K39" t="str">
            <v>#</v>
          </cell>
          <cell r="L39">
            <v>44298</v>
          </cell>
          <cell r="M39">
            <v>44298</v>
          </cell>
          <cell r="N39">
            <v>43696</v>
          </cell>
          <cell r="O39">
            <v>43696</v>
          </cell>
          <cell r="P39">
            <v>43696</v>
          </cell>
          <cell r="Q39">
            <v>44298</v>
          </cell>
          <cell r="R39">
            <v>5</v>
          </cell>
          <cell r="S39">
            <v>44298</v>
          </cell>
          <cell r="T39" t="str">
            <v>Sin asignar</v>
          </cell>
          <cell r="U39" t="str">
            <v>Sin asignar</v>
          </cell>
          <cell r="V39" t="str">
            <v>Gerencia de Mantenimiento</v>
          </cell>
          <cell r="W39" t="str">
            <v>Sptcia. Mtto. Area Seca</v>
          </cell>
          <cell r="X39" t="str">
            <v>Sptcia. Mtto. Area Seca</v>
          </cell>
          <cell r="Y39" t="str">
            <v>Operativo</v>
          </cell>
          <cell r="Z39" t="str">
            <v>Indefinido</v>
          </cell>
        </row>
        <row r="40">
          <cell r="A40" t="str">
            <v>301269</v>
          </cell>
          <cell r="B40" t="str">
            <v>161775304</v>
          </cell>
          <cell r="C40" t="str">
            <v>CATRIL MAYOLAFQUÉN FELIX RODRIGO</v>
          </cell>
          <cell r="D40" t="str">
            <v>Ingeniero Eléctrico Instrumentación</v>
          </cell>
          <cell r="E40" t="str">
            <v>Oper. 7X7 12 Hrs TAB A05</v>
          </cell>
          <cell r="F40" t="str">
            <v>Masculino</v>
          </cell>
          <cell r="G40" t="str">
            <v>FCATR001@CODELCO.CL</v>
          </cell>
          <cell r="H40">
            <v>40</v>
          </cell>
          <cell r="I40">
            <v>44348</v>
          </cell>
          <cell r="J40">
            <v>43892</v>
          </cell>
          <cell r="K40" t="str">
            <v>#</v>
          </cell>
          <cell r="L40">
            <v>45047</v>
          </cell>
          <cell r="M40">
            <v>44348</v>
          </cell>
          <cell r="N40">
            <v>44256</v>
          </cell>
          <cell r="O40">
            <v>43892</v>
          </cell>
          <cell r="P40">
            <v>55603</v>
          </cell>
          <cell r="Q40">
            <v>44348</v>
          </cell>
          <cell r="R40">
            <v>5</v>
          </cell>
          <cell r="S40">
            <v>44348</v>
          </cell>
          <cell r="T40" t="str">
            <v>SAINZ DE LA PEÑA CERON RODRIGO FERNANDO</v>
          </cell>
          <cell r="U40" t="str">
            <v>RSAINZDE@CODELCO.CL</v>
          </cell>
          <cell r="V40" t="str">
            <v>Gerencia de Mantenimiento</v>
          </cell>
          <cell r="W40" t="str">
            <v>Sptcia. Mtto. Area Seca</v>
          </cell>
          <cell r="X40" t="str">
            <v>Sptcia. Mtto. Area Seca</v>
          </cell>
          <cell r="Y40" t="str">
            <v>Profesional</v>
          </cell>
          <cell r="Z40" t="str">
            <v>Indefinido</v>
          </cell>
        </row>
        <row r="41">
          <cell r="A41" t="str">
            <v>301275</v>
          </cell>
          <cell r="B41" t="str">
            <v>159845591</v>
          </cell>
          <cell r="C41" t="str">
            <v>HENRIQUEZ RIVAS JOSE MAURICIO</v>
          </cell>
          <cell r="D41" t="str">
            <v>Jefe Moncon y Sist. Control</v>
          </cell>
          <cell r="E41" t="str">
            <v>Prof. 4X3 12 hrs</v>
          </cell>
          <cell r="F41" t="str">
            <v>Masculino</v>
          </cell>
          <cell r="G41" t="str">
            <v>JHENR027@CODELCO.CL</v>
          </cell>
          <cell r="H41">
            <v>41</v>
          </cell>
          <cell r="I41">
            <v>44348</v>
          </cell>
          <cell r="J41">
            <v>45413</v>
          </cell>
          <cell r="K41" t="str">
            <v>6</v>
          </cell>
          <cell r="L41">
            <v>45413</v>
          </cell>
          <cell r="M41">
            <v>44348</v>
          </cell>
          <cell r="N41">
            <v>44607</v>
          </cell>
          <cell r="O41">
            <v>44242</v>
          </cell>
          <cell r="P41">
            <v>43619</v>
          </cell>
          <cell r="Q41">
            <v>44348</v>
          </cell>
          <cell r="R41">
            <v>5</v>
          </cell>
          <cell r="S41">
            <v>44348</v>
          </cell>
          <cell r="T41" t="str">
            <v>HERRERA CORALES CLAUDIO</v>
          </cell>
          <cell r="U41" t="str">
            <v>CHERR002@CODELCO.CL</v>
          </cell>
          <cell r="V41" t="str">
            <v>Gerencia de Mantenimiento</v>
          </cell>
          <cell r="W41" t="str">
            <v>Superintendencia de Confiabilidad</v>
          </cell>
          <cell r="X41" t="str">
            <v>Superintendencia de Confiabilidad</v>
          </cell>
          <cell r="Y41" t="str">
            <v>Profesional</v>
          </cell>
          <cell r="Z41" t="str">
            <v>Indefinido</v>
          </cell>
        </row>
        <row r="42">
          <cell r="A42" t="str">
            <v>301276</v>
          </cell>
          <cell r="B42" t="str">
            <v>156853216</v>
          </cell>
          <cell r="C42" t="str">
            <v>VARGAS ENCINA CAROLINA ALEJANDRA</v>
          </cell>
          <cell r="D42" t="str">
            <v>Superintendente Geotecnia</v>
          </cell>
          <cell r="E42" t="str">
            <v>Prof. 4X3 12 hrs</v>
          </cell>
          <cell r="F42" t="str">
            <v>Femenino</v>
          </cell>
          <cell r="G42" t="str">
            <v>CVARG029@CODELCO.CL</v>
          </cell>
          <cell r="H42">
            <v>43</v>
          </cell>
          <cell r="I42">
            <v>44348</v>
          </cell>
          <cell r="J42">
            <v>45536</v>
          </cell>
          <cell r="K42" t="str">
            <v>4</v>
          </cell>
          <cell r="L42">
            <v>45536</v>
          </cell>
          <cell r="M42">
            <v>44348</v>
          </cell>
          <cell r="N42">
            <v>44896</v>
          </cell>
          <cell r="O42">
            <v>45078</v>
          </cell>
          <cell r="P42">
            <v>67218</v>
          </cell>
          <cell r="Q42">
            <v>44348</v>
          </cell>
          <cell r="R42">
            <v>5</v>
          </cell>
          <cell r="S42">
            <v>44348</v>
          </cell>
          <cell r="T42" t="str">
            <v>AGUIRRE MENESES HUGO ANDRES</v>
          </cell>
          <cell r="U42" t="str">
            <v>HAGUI024@CODELCO.CL</v>
          </cell>
          <cell r="V42" t="str">
            <v>Gerencia de Recursos Mineros y Desarr</v>
          </cell>
          <cell r="W42" t="str">
            <v>Superintendencia de Geotecnia</v>
          </cell>
          <cell r="X42" t="str">
            <v>Superintendencia de Geotecnia</v>
          </cell>
          <cell r="Y42" t="str">
            <v>Profesional</v>
          </cell>
          <cell r="Z42" t="str">
            <v>Indefinido</v>
          </cell>
        </row>
        <row r="43">
          <cell r="A43" t="str">
            <v>301279</v>
          </cell>
          <cell r="B43" t="str">
            <v>152203276</v>
          </cell>
          <cell r="C43" t="str">
            <v>NUÑEZ SILVA DANIELA VIVIANA</v>
          </cell>
          <cell r="D43" t="str">
            <v>Ingeniero(a) Esp. Balance Metalúrgico</v>
          </cell>
          <cell r="E43" t="str">
            <v>Prof. 4X3 12 hrs</v>
          </cell>
          <cell r="F43" t="str">
            <v>Femenino</v>
          </cell>
          <cell r="G43" t="str">
            <v>DNUNE006@CODELCO.CL</v>
          </cell>
          <cell r="H43">
            <v>44</v>
          </cell>
          <cell r="I43">
            <v>44348</v>
          </cell>
          <cell r="J43">
            <v>44354</v>
          </cell>
          <cell r="K43" t="str">
            <v>#</v>
          </cell>
          <cell r="L43">
            <v>45597</v>
          </cell>
          <cell r="M43">
            <v>44348</v>
          </cell>
          <cell r="N43">
            <v>44354</v>
          </cell>
          <cell r="O43">
            <v>44354</v>
          </cell>
          <cell r="P43">
            <v>56311</v>
          </cell>
          <cell r="Q43">
            <v>44348</v>
          </cell>
          <cell r="R43">
            <v>5</v>
          </cell>
          <cell r="S43">
            <v>44348</v>
          </cell>
          <cell r="T43" t="str">
            <v>ALMEIDA JARA KATHERINE ALEJANDRA</v>
          </cell>
          <cell r="U43" t="str">
            <v>KALMEIDA@CODELCO.CL</v>
          </cell>
          <cell r="V43" t="str">
            <v>Gerencia de Recursos Mineros y Desarr</v>
          </cell>
          <cell r="W43" t="str">
            <v>Superintendencia Planificacion Planta</v>
          </cell>
          <cell r="X43" t="str">
            <v>Superintendencia Planificacion Planta</v>
          </cell>
          <cell r="Y43" t="str">
            <v>Profesional</v>
          </cell>
          <cell r="Z43" t="str">
            <v>Indefinido</v>
          </cell>
        </row>
        <row r="44">
          <cell r="A44" t="str">
            <v>301379</v>
          </cell>
          <cell r="B44" t="str">
            <v>015769409K</v>
          </cell>
          <cell r="C44" t="str">
            <v>BACIAN BACIAN ALVARO RODRIGO</v>
          </cell>
          <cell r="D44" t="str">
            <v>Ingeniero Especialista Suministros</v>
          </cell>
          <cell r="E44" t="str">
            <v>Prof. 4X3 12 hrs</v>
          </cell>
          <cell r="F44" t="str">
            <v>Masculino</v>
          </cell>
          <cell r="G44" t="str">
            <v>ABACI001@CODELCO.CL</v>
          </cell>
          <cell r="H44">
            <v>41</v>
          </cell>
          <cell r="I44">
            <v>44378</v>
          </cell>
          <cell r="J44">
            <v>44361</v>
          </cell>
          <cell r="K44" t="str">
            <v>#</v>
          </cell>
          <cell r="L44">
            <v>45597</v>
          </cell>
          <cell r="M44">
            <v>44378</v>
          </cell>
          <cell r="N44">
            <v>44361</v>
          </cell>
          <cell r="O44">
            <v>44361</v>
          </cell>
          <cell r="P44">
            <v>44361</v>
          </cell>
          <cell r="Q44">
            <v>44378</v>
          </cell>
          <cell r="R44">
            <v>5</v>
          </cell>
          <cell r="S44">
            <v>44378</v>
          </cell>
          <cell r="T44" t="str">
            <v>ALVARADO ROMERO ADRIAN</v>
          </cell>
          <cell r="U44" t="str">
            <v>AALVA034@CODELCO.CL</v>
          </cell>
          <cell r="V44" t="str">
            <v>Gerencia de Administración</v>
          </cell>
          <cell r="W44" t="str">
            <v>Supte. Proyectos, Infra. y Suministros</v>
          </cell>
          <cell r="X44" t="str">
            <v>Supte. Proyectos, Infra. y Suministros</v>
          </cell>
          <cell r="Y44" t="str">
            <v>Profesional</v>
          </cell>
          <cell r="Z44" t="str">
            <v>Indefinido</v>
          </cell>
        </row>
        <row r="45">
          <cell r="A45" t="str">
            <v>301380</v>
          </cell>
          <cell r="B45" t="str">
            <v>118661907</v>
          </cell>
          <cell r="C45" t="str">
            <v>PAIVA LEIVA GUILLERMO ALFREDO</v>
          </cell>
          <cell r="D45" t="str">
            <v>Especialista Operativo Taller</v>
          </cell>
          <cell r="E45" t="str">
            <v>Oper. 7X7 12 Hrs TAB G03</v>
          </cell>
          <cell r="F45" t="str">
            <v>Masculino</v>
          </cell>
          <cell r="G45" t="str">
            <v>GPAIV001@CODELCO.CL</v>
          </cell>
          <cell r="H45">
            <v>56</v>
          </cell>
          <cell r="I45">
            <v>44378</v>
          </cell>
          <cell r="J45">
            <v>44354</v>
          </cell>
          <cell r="K45" t="str">
            <v>#</v>
          </cell>
          <cell r="L45">
            <v>44378</v>
          </cell>
          <cell r="M45">
            <v>44378</v>
          </cell>
          <cell r="N45">
            <v>44562</v>
          </cell>
          <cell r="O45">
            <v>44354</v>
          </cell>
          <cell r="P45">
            <v>57504</v>
          </cell>
          <cell r="Q45">
            <v>44378</v>
          </cell>
          <cell r="R45">
            <v>5</v>
          </cell>
          <cell r="S45">
            <v>44378</v>
          </cell>
          <cell r="T45" t="str">
            <v>LISBOA BANDA RODRIGO EUGENIO</v>
          </cell>
          <cell r="U45" t="str">
            <v>RLISB001@CODELCO.CL</v>
          </cell>
          <cell r="V45" t="str">
            <v>Gerencia de Mantenimiento</v>
          </cell>
          <cell r="W45" t="str">
            <v>Sptcia. Mtto. Mina</v>
          </cell>
          <cell r="X45" t="str">
            <v>Sptcia. Mtto. Mina</v>
          </cell>
          <cell r="Y45" t="str">
            <v>Operativo</v>
          </cell>
          <cell r="Z45" t="str">
            <v>Indefinido</v>
          </cell>
        </row>
        <row r="46">
          <cell r="A46" t="str">
            <v>301381</v>
          </cell>
          <cell r="B46" t="str">
            <v>015273543K</v>
          </cell>
          <cell r="C46" t="str">
            <v>SOTO YUNGE CARLOS</v>
          </cell>
          <cell r="D46" t="str">
            <v>Supdte. Mtto. Area Seca</v>
          </cell>
          <cell r="E46" t="str">
            <v>Oper. 7X7 12 Hrs TAB G01</v>
          </cell>
          <cell r="F46" t="str">
            <v>Masculino</v>
          </cell>
          <cell r="G46" t="str">
            <v>CSOTO073@CODELCO.CL</v>
          </cell>
          <cell r="H46">
            <v>43</v>
          </cell>
          <cell r="I46">
            <v>44378</v>
          </cell>
          <cell r="J46">
            <v>45628</v>
          </cell>
          <cell r="K46" t="str">
            <v>#</v>
          </cell>
          <cell r="L46">
            <v>45628</v>
          </cell>
          <cell r="M46">
            <v>44378</v>
          </cell>
          <cell r="N46">
            <v>44896</v>
          </cell>
          <cell r="O46">
            <v>45078</v>
          </cell>
          <cell r="P46">
            <v>67218</v>
          </cell>
          <cell r="Q46">
            <v>44378</v>
          </cell>
          <cell r="R46">
            <v>5</v>
          </cell>
          <cell r="S46">
            <v>44378</v>
          </cell>
          <cell r="T46" t="str">
            <v>Sin asignar</v>
          </cell>
          <cell r="U46" t="str">
            <v>Sin asignar</v>
          </cell>
          <cell r="V46" t="str">
            <v>Gerencia de Mantenimiento</v>
          </cell>
          <cell r="W46" t="str">
            <v>Sptcia. Mtto. Area Seca</v>
          </cell>
          <cell r="X46" t="str">
            <v>Sptcia. Mtto. Area Seca</v>
          </cell>
          <cell r="Y46" t="str">
            <v>Profesional</v>
          </cell>
          <cell r="Z46" t="str">
            <v>Indefinido</v>
          </cell>
        </row>
        <row r="47">
          <cell r="A47" t="str">
            <v>301406</v>
          </cell>
          <cell r="B47" t="str">
            <v>206595612</v>
          </cell>
          <cell r="C47" t="str">
            <v>ORTEGA GOMEZ FELIPE ANDRES</v>
          </cell>
          <cell r="D47" t="str">
            <v>Operador Mina</v>
          </cell>
          <cell r="E47" t="str">
            <v>Oper. 7X7 12 Hrs TAB G02</v>
          </cell>
          <cell r="F47" t="str">
            <v>Masculino</v>
          </cell>
          <cell r="G47" t="str">
            <v>FORTE009@CODELCO.CL</v>
          </cell>
          <cell r="H47">
            <v>25</v>
          </cell>
          <cell r="I47">
            <v>44389</v>
          </cell>
          <cell r="J47">
            <v>39630</v>
          </cell>
          <cell r="K47" t="str">
            <v>10</v>
          </cell>
          <cell r="L47">
            <v>44389</v>
          </cell>
          <cell r="M47">
            <v>44389</v>
          </cell>
          <cell r="N47">
            <v>39630</v>
          </cell>
          <cell r="O47">
            <v>39630</v>
          </cell>
          <cell r="P47">
            <v>52560</v>
          </cell>
          <cell r="Q47">
            <v>44389</v>
          </cell>
          <cell r="R47">
            <v>5</v>
          </cell>
          <cell r="S47">
            <v>44389</v>
          </cell>
          <cell r="T47" t="str">
            <v>ORTEGA ORTUYA CARLOS</v>
          </cell>
          <cell r="U47" t="str">
            <v>CORTE009@CODELCO.CL</v>
          </cell>
          <cell r="V47" t="str">
            <v>Gerencia de Operaciones</v>
          </cell>
          <cell r="W47" t="str">
            <v>Sptcia. Operacion Mina</v>
          </cell>
          <cell r="X47" t="str">
            <v>Sptcia. Operacion Mina</v>
          </cell>
          <cell r="Y47" t="str">
            <v>Operativo</v>
          </cell>
          <cell r="Z47" t="str">
            <v>Indefinido</v>
          </cell>
        </row>
        <row r="48">
          <cell r="A48" t="str">
            <v>301407</v>
          </cell>
          <cell r="B48" t="str">
            <v>015690757K</v>
          </cell>
          <cell r="C48" t="str">
            <v>RIVERA VENEGAS LUIS ANDRES</v>
          </cell>
          <cell r="D48" t="str">
            <v>Ing. Planificación Mantenimiento</v>
          </cell>
          <cell r="E48" t="str">
            <v>Prof. 4X3 12 hrs</v>
          </cell>
          <cell r="F48" t="str">
            <v>Masculino</v>
          </cell>
          <cell r="G48" t="str">
            <v>LRIVE036@CODELCO.CL</v>
          </cell>
          <cell r="H48">
            <v>43</v>
          </cell>
          <cell r="I48">
            <v>44389</v>
          </cell>
          <cell r="J48">
            <v>46023</v>
          </cell>
          <cell r="K48" t="str">
            <v>#</v>
          </cell>
          <cell r="L48">
            <v>44389</v>
          </cell>
          <cell r="M48">
            <v>44389</v>
          </cell>
          <cell r="N48">
            <v>39448</v>
          </cell>
          <cell r="O48">
            <v>45901</v>
          </cell>
          <cell r="P48">
            <v>52682</v>
          </cell>
          <cell r="Q48">
            <v>44389</v>
          </cell>
          <cell r="R48">
            <v>5</v>
          </cell>
          <cell r="S48">
            <v>44389</v>
          </cell>
          <cell r="T48" t="str">
            <v>GALLEGOS DURAN RODRIGO BERNARDO</v>
          </cell>
          <cell r="U48" t="str">
            <v>RGALL047@CODELCO.CL</v>
          </cell>
          <cell r="V48" t="str">
            <v>Gerencia de Mantenimiento</v>
          </cell>
          <cell r="W48" t="str">
            <v>Sptcia. Planificacion Mantenimiento</v>
          </cell>
          <cell r="X48" t="str">
            <v>Sptcia. Planificacion Mantenimiento</v>
          </cell>
          <cell r="Y48" t="str">
            <v>Profesional</v>
          </cell>
          <cell r="Z48" t="str">
            <v>Indefinido</v>
          </cell>
        </row>
        <row r="49">
          <cell r="A49" t="str">
            <v>301409</v>
          </cell>
          <cell r="B49" t="str">
            <v>171695872</v>
          </cell>
          <cell r="C49" t="str">
            <v>RIVEROS LOPEZ GIANINA PATRICIA</v>
          </cell>
          <cell r="D49" t="str">
            <v>Experto Prev. Riesgos</v>
          </cell>
          <cell r="E49" t="str">
            <v>Oper. 7X7 12 Hrs TAB A05</v>
          </cell>
          <cell r="F49" t="str">
            <v>Femenino</v>
          </cell>
          <cell r="G49" t="str">
            <v>GRIVE018@CODELCO.CL</v>
          </cell>
          <cell r="H49">
            <v>37</v>
          </cell>
          <cell r="I49">
            <v>44389</v>
          </cell>
          <cell r="J49">
            <v>44391</v>
          </cell>
          <cell r="K49" t="str">
            <v>8</v>
          </cell>
          <cell r="L49">
            <v>45047</v>
          </cell>
          <cell r="M49">
            <v>44389</v>
          </cell>
          <cell r="N49">
            <v>44391</v>
          </cell>
          <cell r="O49">
            <v>44391</v>
          </cell>
          <cell r="P49">
            <v>54697</v>
          </cell>
          <cell r="Q49">
            <v>44389</v>
          </cell>
          <cell r="R49">
            <v>5</v>
          </cell>
          <cell r="S49">
            <v>44389</v>
          </cell>
          <cell r="T49" t="str">
            <v>MOLGAS ZEPEDA MARCOS BENJAMIN</v>
          </cell>
          <cell r="U49" t="str">
            <v>MMOLG001@CODELCO.CL</v>
          </cell>
          <cell r="V49" t="str">
            <v>Gerencia de Seguridad y Salud Ocup.</v>
          </cell>
          <cell r="W49" t="str">
            <v>Direccion de Seguridad</v>
          </cell>
          <cell r="X49" t="str">
            <v>Direccion de Seguridad</v>
          </cell>
          <cell r="Y49" t="str">
            <v>Profesional</v>
          </cell>
          <cell r="Z49" t="str">
            <v>Indefinido</v>
          </cell>
        </row>
        <row r="50">
          <cell r="A50" t="str">
            <v>301411</v>
          </cell>
          <cell r="B50" t="str">
            <v>192048451</v>
          </cell>
          <cell r="C50" t="str">
            <v>BUSTON ARGOTE YERKO ELADIO</v>
          </cell>
          <cell r="D50" t="str">
            <v>Operador Mina</v>
          </cell>
          <cell r="E50" t="str">
            <v>Oper. 7X7 12 Hrs TAB G02</v>
          </cell>
          <cell r="F50" t="str">
            <v>Masculino</v>
          </cell>
          <cell r="G50" t="str">
            <v>YBUST001@CODELCO.CL</v>
          </cell>
          <cell r="H50">
            <v>30</v>
          </cell>
          <cell r="I50">
            <v>44391</v>
          </cell>
          <cell r="J50">
            <v>44391</v>
          </cell>
          <cell r="K50" t="str">
            <v>#</v>
          </cell>
          <cell r="L50">
            <v>44391</v>
          </cell>
          <cell r="M50">
            <v>44391</v>
          </cell>
          <cell r="N50">
            <v>44391</v>
          </cell>
          <cell r="O50">
            <v>44391</v>
          </cell>
          <cell r="P50">
            <v>54697</v>
          </cell>
          <cell r="Q50">
            <v>44391</v>
          </cell>
          <cell r="R50">
            <v>5</v>
          </cell>
          <cell r="S50">
            <v>44391</v>
          </cell>
          <cell r="T50" t="str">
            <v>ORTEGA ORTUYA CARLOS</v>
          </cell>
          <cell r="U50" t="str">
            <v>CORTE009@CODELCO.CL</v>
          </cell>
          <cell r="V50" t="str">
            <v>Gerencia de Operaciones</v>
          </cell>
          <cell r="W50" t="str">
            <v>Sptcia. Operacion Mina</v>
          </cell>
          <cell r="X50" t="str">
            <v>Sptcia. Operacion Mina</v>
          </cell>
          <cell r="Y50" t="str">
            <v>Operativo</v>
          </cell>
          <cell r="Z50" t="str">
            <v>Indefinido</v>
          </cell>
        </row>
        <row r="51">
          <cell r="A51" t="str">
            <v>301428</v>
          </cell>
          <cell r="B51" t="str">
            <v>141162861</v>
          </cell>
          <cell r="C51" t="str">
            <v>VARAS GUAMAN HECTOR ANDRES</v>
          </cell>
          <cell r="D51" t="str">
            <v>Analista Mant. Signos Vit. Equipos Mina</v>
          </cell>
          <cell r="E51" t="str">
            <v>Oper. 7X7 12 Hrs TAB A05</v>
          </cell>
          <cell r="F51" t="str">
            <v>Masculino</v>
          </cell>
          <cell r="G51" t="str">
            <v>HVARA002@CODELCO.CL</v>
          </cell>
          <cell r="H51">
            <v>45</v>
          </cell>
          <cell r="I51">
            <v>44389</v>
          </cell>
          <cell r="J51">
            <v>39630</v>
          </cell>
          <cell r="K51" t="str">
            <v>9</v>
          </cell>
          <cell r="L51">
            <v>45597</v>
          </cell>
          <cell r="M51">
            <v>44389</v>
          </cell>
          <cell r="N51">
            <v>39630</v>
          </cell>
          <cell r="O51">
            <v>39630</v>
          </cell>
          <cell r="P51">
            <v>50368</v>
          </cell>
          <cell r="Q51">
            <v>44389</v>
          </cell>
          <cell r="R51">
            <v>5</v>
          </cell>
          <cell r="S51">
            <v>44389</v>
          </cell>
          <cell r="T51" t="str">
            <v>HENRIQUEZ RIVAS JOSE MAURICIO</v>
          </cell>
          <cell r="U51" t="str">
            <v>JHENR027@CODELCO.CL</v>
          </cell>
          <cell r="V51" t="str">
            <v>Gerencia de Mantenimiento</v>
          </cell>
          <cell r="W51" t="str">
            <v>Superintendencia de Confiabilidad</v>
          </cell>
          <cell r="X51" t="str">
            <v>Superintendencia de Confiabilidad</v>
          </cell>
          <cell r="Y51" t="str">
            <v>Operativo</v>
          </cell>
          <cell r="Z51" t="str">
            <v>Indefinido</v>
          </cell>
        </row>
        <row r="52">
          <cell r="A52" t="str">
            <v>301476</v>
          </cell>
          <cell r="B52" t="str">
            <v>177737623</v>
          </cell>
          <cell r="C52" t="str">
            <v>LOPEZ MONTALBAN JONATHAN ANTONIO</v>
          </cell>
          <cell r="D52" t="str">
            <v>Operador Mina</v>
          </cell>
          <cell r="E52" t="str">
            <v>Oper. 7X7 12 Hrs TAB G04</v>
          </cell>
          <cell r="F52" t="str">
            <v>Masculino</v>
          </cell>
          <cell r="G52" t="str">
            <v>JLOPE095@CODELCO.CL</v>
          </cell>
          <cell r="H52">
            <v>35</v>
          </cell>
          <cell r="I52">
            <v>44409</v>
          </cell>
          <cell r="J52">
            <v>39264</v>
          </cell>
          <cell r="K52" t="str">
            <v>10</v>
          </cell>
          <cell r="L52">
            <v>44409</v>
          </cell>
          <cell r="M52">
            <v>44409</v>
          </cell>
          <cell r="N52">
            <v>37987</v>
          </cell>
          <cell r="O52">
            <v>37987</v>
          </cell>
          <cell r="P52">
            <v>48220</v>
          </cell>
          <cell r="Q52">
            <v>44409</v>
          </cell>
          <cell r="R52">
            <v>5</v>
          </cell>
          <cell r="S52">
            <v>44409</v>
          </cell>
          <cell r="T52" t="str">
            <v>Sin asignar</v>
          </cell>
          <cell r="U52" t="str">
            <v>Sin asignar</v>
          </cell>
          <cell r="V52" t="str">
            <v>Gerencia de Operaciones</v>
          </cell>
          <cell r="W52" t="str">
            <v>Sptcia. Operacion Mina</v>
          </cell>
          <cell r="X52" t="str">
            <v>Sptcia. Operacion Mina</v>
          </cell>
          <cell r="Y52" t="str">
            <v>Operativo</v>
          </cell>
          <cell r="Z52" t="str">
            <v>Indefinido</v>
          </cell>
        </row>
        <row r="53">
          <cell r="A53" t="str">
            <v>301477</v>
          </cell>
          <cell r="B53" t="str">
            <v>015606887K</v>
          </cell>
          <cell r="C53" t="str">
            <v>LAZCANO SEPULVEDA JUAN MANUEL</v>
          </cell>
          <cell r="D53" t="str">
            <v>Especialista Operativo Taller</v>
          </cell>
          <cell r="E53" t="str">
            <v>Oper. 7X7 12 Hrs TAB G04</v>
          </cell>
          <cell r="F53" t="str">
            <v>Masculino</v>
          </cell>
          <cell r="G53" t="str">
            <v>JLAZC005@CODELCO.CL</v>
          </cell>
          <cell r="H53">
            <v>42</v>
          </cell>
          <cell r="I53">
            <v>44409</v>
          </cell>
          <cell r="J53">
            <v>44927</v>
          </cell>
          <cell r="K53" t="str">
            <v>#</v>
          </cell>
          <cell r="L53">
            <v>45597</v>
          </cell>
          <cell r="M53">
            <v>44409</v>
          </cell>
          <cell r="N53">
            <v>44382</v>
          </cell>
          <cell r="O53">
            <v>44382</v>
          </cell>
          <cell r="P53">
            <v>44382</v>
          </cell>
          <cell r="Q53">
            <v>44409</v>
          </cell>
          <cell r="R53">
            <v>5</v>
          </cell>
          <cell r="S53">
            <v>44409</v>
          </cell>
          <cell r="T53" t="str">
            <v>LISBOA BANDA RODRIGO EUGENIO</v>
          </cell>
          <cell r="U53" t="str">
            <v>RLISB001@CODELCO.CL</v>
          </cell>
          <cell r="V53" t="str">
            <v>Gerencia de Mantenimiento</v>
          </cell>
          <cell r="W53" t="str">
            <v>Sptcia. Mtto. Mina</v>
          </cell>
          <cell r="X53" t="str">
            <v>Sptcia. Mtto. Mina</v>
          </cell>
          <cell r="Y53" t="str">
            <v>Operativo</v>
          </cell>
          <cell r="Z53" t="str">
            <v>Indefinido</v>
          </cell>
        </row>
        <row r="54">
          <cell r="A54" t="str">
            <v>301478</v>
          </cell>
          <cell r="B54" t="str">
            <v>157608789</v>
          </cell>
          <cell r="C54" t="str">
            <v>MIRANDA ARAYA LUIS ALBERTO</v>
          </cell>
          <cell r="D54" t="str">
            <v>Ingeniero Turno Mtto.</v>
          </cell>
          <cell r="E54" t="str">
            <v>Oper. 7X7 12 Hrs TAB G02</v>
          </cell>
          <cell r="F54" t="str">
            <v>Masculino</v>
          </cell>
          <cell r="G54" t="str">
            <v>LMIRA016@CODELCO.CL</v>
          </cell>
          <cell r="H54">
            <v>41</v>
          </cell>
          <cell r="I54">
            <v>44409</v>
          </cell>
          <cell r="J54">
            <v>45992</v>
          </cell>
          <cell r="K54" t="str">
            <v>#</v>
          </cell>
          <cell r="L54">
            <v>45992</v>
          </cell>
          <cell r="M54">
            <v>44409</v>
          </cell>
          <cell r="N54">
            <v>45992</v>
          </cell>
          <cell r="O54">
            <v>45992</v>
          </cell>
          <cell r="P54">
            <v>57929</v>
          </cell>
          <cell r="Q54">
            <v>44409</v>
          </cell>
          <cell r="R54">
            <v>5</v>
          </cell>
          <cell r="S54">
            <v>44409</v>
          </cell>
          <cell r="T54" t="str">
            <v>RUZ MIRANDA DANIEL ESTEBAN</v>
          </cell>
          <cell r="U54" t="str">
            <v>DRUZ@CODELCO.CL</v>
          </cell>
          <cell r="V54" t="str">
            <v>Gerencia de Mantenimiento</v>
          </cell>
          <cell r="W54" t="str">
            <v>Sptcia. Mtto. Mina</v>
          </cell>
          <cell r="X54" t="str">
            <v>Sptcia. Mtto. Mina</v>
          </cell>
          <cell r="Y54" t="str">
            <v>Profesional</v>
          </cell>
          <cell r="Z54" t="str">
            <v>Indefinido</v>
          </cell>
        </row>
        <row r="55">
          <cell r="A55" t="str">
            <v>301479</v>
          </cell>
          <cell r="B55" t="str">
            <v>80161492</v>
          </cell>
          <cell r="C55" t="str">
            <v>FUENZALIDA QUEZADA ENZO AQUILES</v>
          </cell>
          <cell r="D55" t="str">
            <v>Ingeniero Repuesto y Reparables</v>
          </cell>
          <cell r="E55" t="str">
            <v>Prof. 4X3 12 hrs</v>
          </cell>
          <cell r="F55" t="str">
            <v>Masculino</v>
          </cell>
          <cell r="G55" t="str">
            <v>EFUENZAL@CODELCO.CL</v>
          </cell>
          <cell r="H55">
            <v>57</v>
          </cell>
          <cell r="I55">
            <v>44409</v>
          </cell>
          <cell r="J55">
            <v>45413</v>
          </cell>
          <cell r="K55" t="str">
            <v>8</v>
          </cell>
          <cell r="L55">
            <v>44409</v>
          </cell>
          <cell r="M55">
            <v>44409</v>
          </cell>
          <cell r="N55">
            <v>44389</v>
          </cell>
          <cell r="O55">
            <v>44389</v>
          </cell>
          <cell r="P55">
            <v>131682</v>
          </cell>
          <cell r="Q55">
            <v>44409</v>
          </cell>
          <cell r="R55">
            <v>5</v>
          </cell>
          <cell r="S55">
            <v>44409</v>
          </cell>
          <cell r="T55" t="str">
            <v>GALLEGOS DURAN RODRIGO BERNARDO</v>
          </cell>
          <cell r="U55" t="str">
            <v>RGALL047@CODELCO.CL</v>
          </cell>
          <cell r="V55" t="str">
            <v>Gerencia de Mantenimiento</v>
          </cell>
          <cell r="W55" t="str">
            <v>Sptcia. Planificacion Mantenimiento</v>
          </cell>
          <cell r="X55" t="str">
            <v>Sptcia. Planificacion Mantenimiento</v>
          </cell>
          <cell r="Y55" t="str">
            <v>Profesional</v>
          </cell>
          <cell r="Z55" t="str">
            <v>Indefinido</v>
          </cell>
        </row>
        <row r="56">
          <cell r="A56" t="str">
            <v>301506</v>
          </cell>
          <cell r="B56" t="str">
            <v>156953105</v>
          </cell>
          <cell r="C56" t="str">
            <v>GALLEGUILLOS SAAVEDRA GUILLERMO ALEXANDE</v>
          </cell>
          <cell r="D56" t="str">
            <v>Operador Planta AS</v>
          </cell>
          <cell r="E56" t="str">
            <v>Oper. 7X7 12 Hrs TAB G04</v>
          </cell>
          <cell r="F56" t="str">
            <v>Masculino</v>
          </cell>
          <cell r="G56" t="str">
            <v>GGALL014@CODELCO.CL</v>
          </cell>
          <cell r="H56">
            <v>41</v>
          </cell>
          <cell r="I56">
            <v>44409</v>
          </cell>
          <cell r="J56">
            <v>43647</v>
          </cell>
          <cell r="K56" t="str">
            <v>10</v>
          </cell>
          <cell r="L56">
            <v>44409</v>
          </cell>
          <cell r="M56">
            <v>44409</v>
          </cell>
          <cell r="N56">
            <v>42192</v>
          </cell>
          <cell r="O56">
            <v>41827</v>
          </cell>
          <cell r="P56">
            <v>52880</v>
          </cell>
          <cell r="Q56">
            <v>44409</v>
          </cell>
          <cell r="R56">
            <v>5</v>
          </cell>
          <cell r="S56">
            <v>44409</v>
          </cell>
          <cell r="T56" t="str">
            <v>VASQUEZ LOPEZ ARTURO RICARDO</v>
          </cell>
          <cell r="U56" t="str">
            <v>AVASQ018@CODELCO.CL</v>
          </cell>
          <cell r="V56" t="str">
            <v>Gerencia de Operaciones</v>
          </cell>
          <cell r="W56" t="str">
            <v>Sptcia. Operacion Area Seca</v>
          </cell>
          <cell r="X56" t="str">
            <v>Sptcia. Operacion Area Seca</v>
          </cell>
          <cell r="Y56" t="str">
            <v>Operativo</v>
          </cell>
          <cell r="Z56" t="str">
            <v>Indefinido</v>
          </cell>
        </row>
        <row r="57">
          <cell r="A57" t="str">
            <v>301606</v>
          </cell>
          <cell r="B57" t="str">
            <v>106651876</v>
          </cell>
          <cell r="C57" t="str">
            <v>GALLEGOS DURAN RODRIGO BERNARDO</v>
          </cell>
          <cell r="D57" t="str">
            <v>Jefe Funcional Planf.Mant. A.Hum</v>
          </cell>
          <cell r="E57" t="str">
            <v>Prof. 4X3 12 hrs</v>
          </cell>
          <cell r="F57" t="str">
            <v>Masculino</v>
          </cell>
          <cell r="G57" t="str">
            <v>RGALL047@CODELCO.CL</v>
          </cell>
          <cell r="H57">
            <v>53</v>
          </cell>
          <cell r="I57">
            <v>44440</v>
          </cell>
          <cell r="J57">
            <v>44319</v>
          </cell>
          <cell r="K57" t="str">
            <v>6</v>
          </cell>
          <cell r="L57">
            <v>44440</v>
          </cell>
          <cell r="M57">
            <v>44440</v>
          </cell>
          <cell r="N57">
            <v>44319</v>
          </cell>
          <cell r="O57">
            <v>44319</v>
          </cell>
          <cell r="P57">
            <v>44319</v>
          </cell>
          <cell r="Q57">
            <v>44440</v>
          </cell>
          <cell r="R57">
            <v>5</v>
          </cell>
          <cell r="S57">
            <v>44440</v>
          </cell>
          <cell r="T57" t="str">
            <v>VERA GAJARDO CARLOS ALEXIS</v>
          </cell>
          <cell r="U57" t="str">
            <v>CVERA009@CODELCO.CL</v>
          </cell>
          <cell r="V57" t="str">
            <v>Gerencia de Mantenimiento</v>
          </cell>
          <cell r="W57" t="str">
            <v>Sptcia. Planificacion Mantenimiento</v>
          </cell>
          <cell r="X57" t="str">
            <v>Sptcia. Planificacion Mantenimiento</v>
          </cell>
          <cell r="Y57" t="str">
            <v>Profesional</v>
          </cell>
          <cell r="Z57" t="str">
            <v>Indefinido</v>
          </cell>
        </row>
        <row r="58">
          <cell r="A58" t="str">
            <v>301649</v>
          </cell>
          <cell r="B58" t="str">
            <v>132261458</v>
          </cell>
          <cell r="C58" t="str">
            <v>CARRASCO MAUREIRA EDUARDO</v>
          </cell>
          <cell r="D58" t="str">
            <v>Ingeniero Turno Mantenimiento A.H.</v>
          </cell>
          <cell r="E58" t="str">
            <v>Oper. 7X7 12 Hrs TAB G02</v>
          </cell>
          <cell r="F58" t="str">
            <v>Masculino</v>
          </cell>
          <cell r="G58" t="str">
            <v>ECARR021@CODELCO.CL</v>
          </cell>
          <cell r="H58">
            <v>48</v>
          </cell>
          <cell r="I58">
            <v>44452</v>
          </cell>
          <cell r="J58">
            <v>45566</v>
          </cell>
          <cell r="K58" t="str">
            <v>#</v>
          </cell>
          <cell r="L58">
            <v>45566</v>
          </cell>
          <cell r="M58">
            <v>44452</v>
          </cell>
          <cell r="N58">
            <v>45566</v>
          </cell>
          <cell r="O58">
            <v>45566</v>
          </cell>
          <cell r="P58">
            <v>44382</v>
          </cell>
          <cell r="Q58">
            <v>44452</v>
          </cell>
          <cell r="R58">
            <v>5</v>
          </cell>
          <cell r="S58">
            <v>44452</v>
          </cell>
          <cell r="T58" t="str">
            <v>SILVA LARRAIN CESAR</v>
          </cell>
          <cell r="U58" t="str">
            <v>CSILV021@CODELCO.CL</v>
          </cell>
          <cell r="V58" t="str">
            <v>Gerencia de Mantenimiento</v>
          </cell>
          <cell r="W58" t="str">
            <v>Sptcia. Mtto. Area Humeda</v>
          </cell>
          <cell r="X58" t="str">
            <v>Sptcia. Mtto. Area Humeda</v>
          </cell>
          <cell r="Y58" t="str">
            <v>Profesional</v>
          </cell>
          <cell r="Z58" t="str">
            <v>Indefinido</v>
          </cell>
        </row>
        <row r="59">
          <cell r="A59" t="str">
            <v>301650</v>
          </cell>
          <cell r="B59" t="str">
            <v>155751118</v>
          </cell>
          <cell r="C59" t="str">
            <v>RODRIGUEZ ROJAS YULAN ALEXIS ANDRES</v>
          </cell>
          <cell r="D59" t="str">
            <v>Ingeniero de Despacho Mina</v>
          </cell>
          <cell r="E59" t="str">
            <v>Oper. 7X7 12 Hrs TAB G03</v>
          </cell>
          <cell r="F59" t="str">
            <v>Masculino</v>
          </cell>
          <cell r="G59" t="str">
            <v>YRODR002@CODELCO.CL</v>
          </cell>
          <cell r="H59">
            <v>33</v>
          </cell>
          <cell r="I59">
            <v>44452</v>
          </cell>
          <cell r="J59">
            <v>44440</v>
          </cell>
          <cell r="K59" t="str">
            <v>#</v>
          </cell>
          <cell r="L59">
            <v>44452</v>
          </cell>
          <cell r="M59">
            <v>44452</v>
          </cell>
          <cell r="N59">
            <v>44452</v>
          </cell>
          <cell r="O59">
            <v>44452</v>
          </cell>
          <cell r="P59">
            <v>53704</v>
          </cell>
          <cell r="Q59">
            <v>44452</v>
          </cell>
          <cell r="R59">
            <v>5</v>
          </cell>
          <cell r="S59">
            <v>44452</v>
          </cell>
          <cell r="T59" t="str">
            <v>VELIZ LOPEZ ERIC FELIPE PATRICIO</v>
          </cell>
          <cell r="U59" t="str">
            <v>EVELI007@CODELCO.CL</v>
          </cell>
          <cell r="V59" t="str">
            <v>Gerencia de Operaciones</v>
          </cell>
          <cell r="W59" t="str">
            <v>Sptcia. Ingenieria y Gestion Mina</v>
          </cell>
          <cell r="X59" t="str">
            <v>Sptcia. Ingenieria y Gestion Mina</v>
          </cell>
          <cell r="Y59" t="str">
            <v>Profesional</v>
          </cell>
          <cell r="Z59" t="str">
            <v>Indefinido</v>
          </cell>
        </row>
        <row r="60">
          <cell r="A60" t="str">
            <v>301721</v>
          </cell>
          <cell r="B60" t="str">
            <v>164888681</v>
          </cell>
          <cell r="C60" t="str">
            <v>OSORIO CASIMIS MARKO IGNACIO</v>
          </cell>
          <cell r="D60" t="str">
            <v>Ingeniero Suministros</v>
          </cell>
          <cell r="E60" t="str">
            <v>Prof. 4X3 12 hrs</v>
          </cell>
          <cell r="F60" t="str">
            <v>Masculino</v>
          </cell>
          <cell r="G60" t="str">
            <v>MOSOR016@CODELCO.CL</v>
          </cell>
          <cell r="H60">
            <v>39</v>
          </cell>
          <cell r="I60">
            <v>44662</v>
          </cell>
          <cell r="J60">
            <v>44986</v>
          </cell>
          <cell r="K60" t="str">
            <v>#</v>
          </cell>
          <cell r="L60">
            <v>45047</v>
          </cell>
          <cell r="M60">
            <v>44662</v>
          </cell>
          <cell r="N60">
            <v>44440</v>
          </cell>
          <cell r="O60">
            <v>44440</v>
          </cell>
          <cell r="P60">
            <v>55223</v>
          </cell>
          <cell r="Q60">
            <v>44473</v>
          </cell>
          <cell r="R60">
            <v>4</v>
          </cell>
          <cell r="S60">
            <v>44662</v>
          </cell>
          <cell r="T60" t="str">
            <v>ALVARADO ROMERO ADRIAN</v>
          </cell>
          <cell r="U60" t="str">
            <v>AALVA034@CODELCO.CL</v>
          </cell>
          <cell r="V60" t="str">
            <v>Gerencia de Administración</v>
          </cell>
          <cell r="W60" t="str">
            <v>Supte. Proyectos, Infra. y Suministros</v>
          </cell>
          <cell r="X60" t="str">
            <v>Supte. Proyectos, Infra. y Suministros</v>
          </cell>
          <cell r="Y60" t="str">
            <v>Profesional</v>
          </cell>
          <cell r="Z60" t="str">
            <v>Indefinido</v>
          </cell>
        </row>
        <row r="61">
          <cell r="A61" t="str">
            <v>301777</v>
          </cell>
          <cell r="B61" t="str">
            <v>180150285</v>
          </cell>
          <cell r="C61" t="str">
            <v>KONG AVILA ARTURO</v>
          </cell>
          <cell r="D61" t="str">
            <v>Ingeniero Planificación Mina Med y Lar P</v>
          </cell>
          <cell r="E61" t="str">
            <v>Prof. 4X3 12 hrs</v>
          </cell>
          <cell r="F61" t="str">
            <v>Masculino</v>
          </cell>
          <cell r="G61" t="str">
            <v>AKONG001@CODELCO.CL</v>
          </cell>
          <cell r="H61">
            <v>34</v>
          </cell>
          <cell r="I61">
            <v>44487</v>
          </cell>
          <cell r="J61">
            <v>45323</v>
          </cell>
          <cell r="K61" t="str">
            <v>8</v>
          </cell>
          <cell r="L61">
            <v>45323</v>
          </cell>
          <cell r="M61">
            <v>44487</v>
          </cell>
          <cell r="N61">
            <v>44896</v>
          </cell>
          <cell r="O61">
            <v>45078</v>
          </cell>
          <cell r="P61">
            <v>67218</v>
          </cell>
          <cell r="Q61">
            <v>44487</v>
          </cell>
          <cell r="R61">
            <v>4</v>
          </cell>
          <cell r="S61">
            <v>44487</v>
          </cell>
          <cell r="T61" t="str">
            <v>CAFFARENA BARCENILLA FELIPE ALBERTO</v>
          </cell>
          <cell r="U61" t="str">
            <v>FCAFFARE@CODELCO.CL</v>
          </cell>
          <cell r="V61" t="str">
            <v>Gerencia de Recursos Mineros y Desarr</v>
          </cell>
          <cell r="W61" t="str">
            <v>Superintendencia Planificacion Minera</v>
          </cell>
          <cell r="X61" t="str">
            <v>Planificacion Mina Med. y Largo Plazo</v>
          </cell>
          <cell r="Y61" t="str">
            <v>Profesional</v>
          </cell>
          <cell r="Z61" t="str">
            <v>Indefinido</v>
          </cell>
        </row>
        <row r="62">
          <cell r="A62" t="str">
            <v>301779</v>
          </cell>
          <cell r="B62" t="str">
            <v>157334077</v>
          </cell>
          <cell r="C62" t="str">
            <v>FREDES CISTERNAS MIGUEL ANGEL</v>
          </cell>
          <cell r="D62" t="str">
            <v>Operador Planta AH</v>
          </cell>
          <cell r="E62" t="str">
            <v>Oper. 7X7 12 Hrs TAB G01</v>
          </cell>
          <cell r="F62" t="str">
            <v>Masculino</v>
          </cell>
          <cell r="G62" t="str">
            <v>MFRED004@CODELCO.CL</v>
          </cell>
          <cell r="H62">
            <v>43</v>
          </cell>
          <cell r="I62">
            <v>44487</v>
          </cell>
          <cell r="J62">
            <v>44487</v>
          </cell>
          <cell r="K62" t="str">
            <v>10</v>
          </cell>
          <cell r="L62">
            <v>44487</v>
          </cell>
          <cell r="M62">
            <v>44487</v>
          </cell>
          <cell r="N62">
            <v>44487</v>
          </cell>
          <cell r="O62">
            <v>44487</v>
          </cell>
          <cell r="P62">
            <v>51472</v>
          </cell>
          <cell r="Q62">
            <v>44487</v>
          </cell>
          <cell r="R62">
            <v>4</v>
          </cell>
          <cell r="S62">
            <v>44487</v>
          </cell>
          <cell r="T62" t="str">
            <v>ROJAS ESPINOZA MELISSA DEL CARMEN</v>
          </cell>
          <cell r="U62" t="str">
            <v>MROJA134@CODELCO.CL</v>
          </cell>
          <cell r="V62" t="str">
            <v>Gerencia de Operaciones</v>
          </cell>
          <cell r="W62" t="str">
            <v>Sptcia. Operacion Area Hum.</v>
          </cell>
          <cell r="X62" t="str">
            <v>Sx Ew y Patio de Embarque</v>
          </cell>
          <cell r="Y62" t="str">
            <v>Operativo</v>
          </cell>
          <cell r="Z62" t="str">
            <v>Indefinido</v>
          </cell>
        </row>
        <row r="63">
          <cell r="A63" t="str">
            <v>301780</v>
          </cell>
          <cell r="B63" t="str">
            <v>107655417</v>
          </cell>
          <cell r="C63" t="str">
            <v>BARRIOS ROJAS DAVID HUMBERTO</v>
          </cell>
          <cell r="D63" t="str">
            <v>Operador Planta AH</v>
          </cell>
          <cell r="E63" t="str">
            <v>Oper. 7X7 12 Hrs TAB A06</v>
          </cell>
          <cell r="F63" t="str">
            <v>Masculino</v>
          </cell>
          <cell r="G63" t="str">
            <v>DBARR025@CODELCO.CL</v>
          </cell>
          <cell r="H63">
            <v>59</v>
          </cell>
          <cell r="I63">
            <v>44487</v>
          </cell>
          <cell r="J63">
            <v>45323</v>
          </cell>
          <cell r="K63" t="str">
            <v>10</v>
          </cell>
          <cell r="L63">
            <v>44487</v>
          </cell>
          <cell r="M63">
            <v>44487</v>
          </cell>
          <cell r="N63">
            <v>44896</v>
          </cell>
          <cell r="O63">
            <v>45078</v>
          </cell>
          <cell r="P63">
            <v>67218</v>
          </cell>
          <cell r="Q63">
            <v>44487</v>
          </cell>
          <cell r="R63">
            <v>4</v>
          </cell>
          <cell r="S63">
            <v>44487</v>
          </cell>
          <cell r="T63" t="str">
            <v>ROJAS ESPINOZA MELISSA DEL CARMEN</v>
          </cell>
          <cell r="U63" t="str">
            <v>MROJA134@CODELCO.CL</v>
          </cell>
          <cell r="V63" t="str">
            <v>Gerencia de Operaciones</v>
          </cell>
          <cell r="W63" t="str">
            <v>Sptcia. Operacion Area Hum.</v>
          </cell>
          <cell r="X63" t="str">
            <v>Sptcia. Operacion Area Hum.</v>
          </cell>
          <cell r="Y63" t="str">
            <v>Operativo</v>
          </cell>
          <cell r="Z63" t="str">
            <v>Indefinido</v>
          </cell>
        </row>
        <row r="64">
          <cell r="A64" t="str">
            <v>301837</v>
          </cell>
          <cell r="B64" t="str">
            <v>139904249</v>
          </cell>
          <cell r="C64" t="str">
            <v>BRIZIC GIOVINE DAVOR</v>
          </cell>
          <cell r="D64" t="str">
            <v>Ingeniero Servicio a las Personas</v>
          </cell>
          <cell r="E64" t="str">
            <v>Prof. 4X3 12 hrs</v>
          </cell>
          <cell r="F64" t="str">
            <v>Masculino</v>
          </cell>
          <cell r="G64" t="str">
            <v>DBRIZ001@CODELCO.CL</v>
          </cell>
          <cell r="H64">
            <v>45</v>
          </cell>
          <cell r="I64">
            <v>44515</v>
          </cell>
          <cell r="J64">
            <v>44319</v>
          </cell>
          <cell r="K64" t="str">
            <v>6</v>
          </cell>
          <cell r="L64">
            <v>45931</v>
          </cell>
          <cell r="M64">
            <v>44515</v>
          </cell>
          <cell r="N64">
            <v>44319</v>
          </cell>
          <cell r="O64">
            <v>44319</v>
          </cell>
          <cell r="P64">
            <v>44319</v>
          </cell>
          <cell r="Q64">
            <v>44515</v>
          </cell>
          <cell r="R64">
            <v>5</v>
          </cell>
          <cell r="S64">
            <v>44515</v>
          </cell>
          <cell r="T64" t="str">
            <v>Sin asignar</v>
          </cell>
          <cell r="U64" t="str">
            <v>Sin asignar</v>
          </cell>
          <cell r="V64" t="str">
            <v>Gerencia de Administración</v>
          </cell>
          <cell r="W64" t="str">
            <v>Direccion de Servicio a las Personas</v>
          </cell>
          <cell r="X64" t="str">
            <v>Direccion de Servicio a las Personas</v>
          </cell>
          <cell r="Y64" t="str">
            <v>Profesional</v>
          </cell>
          <cell r="Z64" t="str">
            <v>Indefinido</v>
          </cell>
        </row>
        <row r="65">
          <cell r="A65" t="str">
            <v>301845</v>
          </cell>
          <cell r="B65" t="str">
            <v>153388873</v>
          </cell>
          <cell r="C65" t="str">
            <v>MOLGAS ZEPEDA MARCOS BENJAMIN</v>
          </cell>
          <cell r="D65" t="str">
            <v>Director de Seguridad</v>
          </cell>
          <cell r="E65" t="str">
            <v>Prof. 4X3 12 hrs</v>
          </cell>
          <cell r="F65" t="str">
            <v>Masculino</v>
          </cell>
          <cell r="G65" t="str">
            <v>MMOLG001@CODELCO.CL</v>
          </cell>
          <cell r="H65">
            <v>43</v>
          </cell>
          <cell r="I65">
            <v>44517</v>
          </cell>
          <cell r="J65">
            <v>44508</v>
          </cell>
          <cell r="K65" t="str">
            <v>#</v>
          </cell>
          <cell r="L65">
            <v>45231</v>
          </cell>
          <cell r="M65">
            <v>44517</v>
          </cell>
          <cell r="N65">
            <v>44508</v>
          </cell>
          <cell r="O65">
            <v>44508</v>
          </cell>
          <cell r="P65">
            <v>44508</v>
          </cell>
          <cell r="Q65">
            <v>44517</v>
          </cell>
          <cell r="R65">
            <v>4</v>
          </cell>
          <cell r="S65">
            <v>44517</v>
          </cell>
          <cell r="T65" t="str">
            <v>NEUT VILLANUEVA FRANCISCA GABRIELA</v>
          </cell>
          <cell r="U65" t="str">
            <v>FNEUT001@CODELCO.CL</v>
          </cell>
          <cell r="V65" t="str">
            <v>Gerencia de Seguridad y Salud Ocup.</v>
          </cell>
          <cell r="W65" t="str">
            <v>Direccion de Seguridad</v>
          </cell>
          <cell r="X65" t="str">
            <v>Direccion de Seguridad</v>
          </cell>
          <cell r="Y65" t="str">
            <v>Profesional</v>
          </cell>
          <cell r="Z65" t="str">
            <v>Indefinido</v>
          </cell>
        </row>
        <row r="66">
          <cell r="A66" t="str">
            <v>301976</v>
          </cell>
          <cell r="B66" t="str">
            <v>181324805</v>
          </cell>
          <cell r="C66" t="str">
            <v>MARTINEZ DEMONTE FELIPE JAVIER</v>
          </cell>
          <cell r="D66" t="str">
            <v>Operador Mina</v>
          </cell>
          <cell r="E66" t="str">
            <v>Oper. 7X7 12 Hrs TAB G03</v>
          </cell>
          <cell r="F66" t="str">
            <v>Masculino</v>
          </cell>
          <cell r="G66" t="str">
            <v>FMART031@CODELCO.CL</v>
          </cell>
          <cell r="H66">
            <v>34</v>
          </cell>
          <cell r="I66">
            <v>44564</v>
          </cell>
          <cell r="J66">
            <v>39569</v>
          </cell>
          <cell r="K66" t="str">
            <v>10</v>
          </cell>
          <cell r="L66">
            <v>45778</v>
          </cell>
          <cell r="M66">
            <v>44564</v>
          </cell>
          <cell r="N66">
            <v>36008</v>
          </cell>
          <cell r="O66">
            <v>35613</v>
          </cell>
          <cell r="P66">
            <v>53524</v>
          </cell>
          <cell r="Q66">
            <v>44564</v>
          </cell>
          <cell r="R66">
            <v>4</v>
          </cell>
          <cell r="S66">
            <v>44564</v>
          </cell>
          <cell r="T66" t="str">
            <v>ZUMELZU BRAVO MARYLIN</v>
          </cell>
          <cell r="U66" t="str">
            <v>MZUME001@CODELCO.CL</v>
          </cell>
          <cell r="V66" t="str">
            <v>Gerencia de Operaciones</v>
          </cell>
          <cell r="W66" t="str">
            <v>Sptcia. Operacion Mina</v>
          </cell>
          <cell r="X66" t="str">
            <v>Sptcia. Operacion Mina</v>
          </cell>
          <cell r="Y66" t="str">
            <v>Operativo</v>
          </cell>
          <cell r="Z66" t="str">
            <v>Indefinido</v>
          </cell>
        </row>
        <row r="67">
          <cell r="A67" t="str">
            <v>301977</v>
          </cell>
          <cell r="B67" t="str">
            <v>119970636</v>
          </cell>
          <cell r="C67" t="str">
            <v>CARRASCO PADILLA CESAR ANDRES</v>
          </cell>
          <cell r="D67" t="str">
            <v>Ingeniero</v>
          </cell>
          <cell r="E67" t="str">
            <v>Prof. 4X3 12 hrs</v>
          </cell>
          <cell r="F67" t="str">
            <v>Masculino</v>
          </cell>
          <cell r="G67" t="str">
            <v>CCARR004@CODELCO.CL</v>
          </cell>
          <cell r="H67">
            <v>53</v>
          </cell>
          <cell r="I67">
            <v>44564</v>
          </cell>
          <cell r="J67">
            <v>45306</v>
          </cell>
          <cell r="K67" t="str">
            <v>#</v>
          </cell>
          <cell r="L67">
            <v>45231</v>
          </cell>
          <cell r="M67">
            <v>44564</v>
          </cell>
          <cell r="N67">
            <v>45306</v>
          </cell>
          <cell r="O67">
            <v>45306</v>
          </cell>
          <cell r="P67">
            <v>56765</v>
          </cell>
          <cell r="Q67">
            <v>44564</v>
          </cell>
          <cell r="R67">
            <v>4</v>
          </cell>
          <cell r="S67">
            <v>44564</v>
          </cell>
          <cell r="T67" t="str">
            <v>HEMMELMANN FUENTES NATHALIE</v>
          </cell>
          <cell r="U67" t="str">
            <v>NHEMM001@CODELCO.CL</v>
          </cell>
          <cell r="V67" t="str">
            <v>Gerencia de Mantenimiento</v>
          </cell>
          <cell r="W67" t="str">
            <v>Superintendencia de Confiabilidad</v>
          </cell>
          <cell r="X67" t="str">
            <v>Superintendencia de Confiabilidad</v>
          </cell>
          <cell r="Y67" t="str">
            <v>Profesional</v>
          </cell>
          <cell r="Z67" t="str">
            <v>Indefinido</v>
          </cell>
        </row>
        <row r="68">
          <cell r="A68" t="str">
            <v>302018</v>
          </cell>
          <cell r="B68" t="str">
            <v>185407713</v>
          </cell>
          <cell r="C68" t="str">
            <v>PALMA MELLADO CARLOS ANDRES</v>
          </cell>
          <cell r="D68" t="str">
            <v>Ingeniero Control Producción</v>
          </cell>
          <cell r="E68" t="str">
            <v>Oper. 7X7 12 Hrs TAB A06</v>
          </cell>
          <cell r="F68" t="str">
            <v>Masculino</v>
          </cell>
          <cell r="G68" t="str">
            <v>CPALM010@CODELCO.CL</v>
          </cell>
          <cell r="H68">
            <v>33</v>
          </cell>
          <cell r="I68">
            <v>44866</v>
          </cell>
          <cell r="J68">
            <v>45597</v>
          </cell>
          <cell r="K68" t="str">
            <v>#</v>
          </cell>
          <cell r="L68">
            <v>44866</v>
          </cell>
          <cell r="M68">
            <v>44866</v>
          </cell>
          <cell r="N68">
            <v>44866</v>
          </cell>
          <cell r="O68">
            <v>45078</v>
          </cell>
          <cell r="P68">
            <v>67218</v>
          </cell>
          <cell r="Q68">
            <v>44564</v>
          </cell>
          <cell r="R68">
            <v>4</v>
          </cell>
          <cell r="S68">
            <v>44866</v>
          </cell>
          <cell r="T68" t="str">
            <v>VELIZ LOPEZ ERIC FELIPE PATRICIO</v>
          </cell>
          <cell r="U68" t="str">
            <v>EVELI007@CODELCO.CL</v>
          </cell>
          <cell r="V68" t="str">
            <v>Gerencia de Operaciones</v>
          </cell>
          <cell r="W68" t="str">
            <v>Sptcia. Ingenieria y Gestion Mina</v>
          </cell>
          <cell r="X68" t="str">
            <v>Sptcia. Ingenieria y Gestion Mina</v>
          </cell>
          <cell r="Y68" t="str">
            <v>Profesional</v>
          </cell>
          <cell r="Z68" t="str">
            <v>Indefinido</v>
          </cell>
        </row>
        <row r="69">
          <cell r="A69" t="str">
            <v>302095</v>
          </cell>
          <cell r="B69" t="str">
            <v>194458320</v>
          </cell>
          <cell r="C69" t="str">
            <v>BERMUDEZ SAAVEDRA CONSTANZA MONSERRAT</v>
          </cell>
          <cell r="D69" t="str">
            <v>Ing. Fisc. Lab. y Adm. Contratos</v>
          </cell>
          <cell r="E69" t="str">
            <v>Prof. 4X3 12 hrs</v>
          </cell>
          <cell r="F69" t="str">
            <v>Femenino</v>
          </cell>
          <cell r="G69" t="str">
            <v>CBERM003@CODELCO.CL</v>
          </cell>
          <cell r="H69">
            <v>29</v>
          </cell>
          <cell r="I69">
            <v>44866</v>
          </cell>
          <cell r="J69">
            <v>44901</v>
          </cell>
          <cell r="K69" t="str">
            <v>8</v>
          </cell>
          <cell r="L69">
            <v>45597</v>
          </cell>
          <cell r="M69">
            <v>44866</v>
          </cell>
          <cell r="N69">
            <v>44866</v>
          </cell>
          <cell r="O69">
            <v>39468</v>
          </cell>
          <cell r="P69">
            <v>52447</v>
          </cell>
          <cell r="Q69">
            <v>44578</v>
          </cell>
          <cell r="R69">
            <v>4</v>
          </cell>
          <cell r="S69">
            <v>44866</v>
          </cell>
          <cell r="T69" t="str">
            <v>Sin asignar</v>
          </cell>
          <cell r="U69" t="str">
            <v>Sin asignar</v>
          </cell>
          <cell r="V69" t="str">
            <v>Gerencia de Administración</v>
          </cell>
          <cell r="W69" t="str">
            <v>Direccion Gestion y Fiscalizacion EECC</v>
          </cell>
          <cell r="X69" t="str">
            <v>Direccion Gestion y Fiscalizacion EECC</v>
          </cell>
          <cell r="Y69" t="str">
            <v>Profesional</v>
          </cell>
          <cell r="Z69" t="str">
            <v>Indefinido</v>
          </cell>
        </row>
        <row r="70">
          <cell r="A70" t="str">
            <v>302107</v>
          </cell>
          <cell r="B70" t="str">
            <v>166714915</v>
          </cell>
          <cell r="C70" t="str">
            <v>MALEBRAN MERCADO WLADIMIR</v>
          </cell>
          <cell r="D70" t="str">
            <v>Ingeniero Repuestos y Reparables</v>
          </cell>
          <cell r="E70" t="str">
            <v>Prof. 4X3 12 hrs</v>
          </cell>
          <cell r="F70" t="str">
            <v>Masculino</v>
          </cell>
          <cell r="G70" t="str">
            <v>WMALEBRA@CODELCO.CL</v>
          </cell>
          <cell r="H70">
            <v>39</v>
          </cell>
          <cell r="I70">
            <v>44593</v>
          </cell>
          <cell r="J70">
            <v>44593</v>
          </cell>
          <cell r="K70" t="str">
            <v>#</v>
          </cell>
          <cell r="L70">
            <v>45931</v>
          </cell>
          <cell r="M70">
            <v>44593</v>
          </cell>
          <cell r="N70">
            <v>44593</v>
          </cell>
          <cell r="O70">
            <v>44593</v>
          </cell>
          <cell r="P70">
            <v>52994</v>
          </cell>
          <cell r="Q70">
            <v>44593</v>
          </cell>
          <cell r="R70">
            <v>4</v>
          </cell>
          <cell r="S70">
            <v>44593</v>
          </cell>
          <cell r="T70" t="str">
            <v>DONOSO NOGALES PEDRO ARNOLDO</v>
          </cell>
          <cell r="U70" t="str">
            <v>PDONO007@CODELCO.CL</v>
          </cell>
          <cell r="V70" t="str">
            <v>Gerencia de Mantenimiento</v>
          </cell>
          <cell r="W70" t="str">
            <v>Sptcia. Planificacion Mantenimiento</v>
          </cell>
          <cell r="X70" t="str">
            <v>Sptcia. Planificacion Mantenimiento</v>
          </cell>
          <cell r="Y70" t="str">
            <v>Profesional</v>
          </cell>
          <cell r="Z70" t="str">
            <v>Indefinido</v>
          </cell>
        </row>
        <row r="71">
          <cell r="A71" t="str">
            <v>302108</v>
          </cell>
          <cell r="B71" t="str">
            <v>162035584</v>
          </cell>
          <cell r="C71" t="str">
            <v>JORQUERA CONTRERAS CLAUDIO</v>
          </cell>
          <cell r="D71" t="str">
            <v>Ingeniero Planif. Mtto. Mina</v>
          </cell>
          <cell r="E71" t="str">
            <v>Prof. 4X3 12 hrs</v>
          </cell>
          <cell r="F71" t="str">
            <v>Masculino</v>
          </cell>
          <cell r="G71" t="str">
            <v>CJORQ017@CODELCO.CL</v>
          </cell>
          <cell r="H71">
            <v>39</v>
          </cell>
          <cell r="I71">
            <v>44593</v>
          </cell>
          <cell r="J71">
            <v>44326</v>
          </cell>
          <cell r="K71" t="str">
            <v>8</v>
          </cell>
          <cell r="L71">
            <v>45597</v>
          </cell>
          <cell r="M71">
            <v>44593</v>
          </cell>
          <cell r="N71">
            <v>44326</v>
          </cell>
          <cell r="O71">
            <v>44326</v>
          </cell>
          <cell r="P71">
            <v>56420</v>
          </cell>
          <cell r="Q71">
            <v>44593</v>
          </cell>
          <cell r="R71">
            <v>4</v>
          </cell>
          <cell r="S71">
            <v>44593</v>
          </cell>
          <cell r="T71" t="str">
            <v>HERRERA FUENZALIDA ALEX</v>
          </cell>
          <cell r="U71" t="str">
            <v>AHERR024@CODELCO.CL</v>
          </cell>
          <cell r="V71" t="str">
            <v>Gerencia de Mantenimiento</v>
          </cell>
          <cell r="W71" t="str">
            <v>Sptcia. Planificacion Mantenimiento</v>
          </cell>
          <cell r="X71" t="str">
            <v>Sptcia. Planificacion Mantenimiento</v>
          </cell>
          <cell r="Y71" t="str">
            <v>Profesional</v>
          </cell>
          <cell r="Z71" t="str">
            <v>Indefinido</v>
          </cell>
        </row>
        <row r="72">
          <cell r="A72" t="str">
            <v>302198</v>
          </cell>
          <cell r="B72" t="str">
            <v>013216567K</v>
          </cell>
          <cell r="C72" t="str">
            <v>MENDOZA CEREZO ELIAS CATALINO</v>
          </cell>
          <cell r="D72" t="str">
            <v>Operador Mina</v>
          </cell>
          <cell r="E72" t="str">
            <v>Oper. 7X7 12 Hrs TAB G01</v>
          </cell>
          <cell r="F72" t="str">
            <v>Masculino</v>
          </cell>
          <cell r="G72" t="str">
            <v>EMEND010@CODELCO.CL</v>
          </cell>
          <cell r="H72">
            <v>48</v>
          </cell>
          <cell r="I72">
            <v>44621</v>
          </cell>
          <cell r="J72">
            <v>45078</v>
          </cell>
          <cell r="K72" t="str">
            <v>#</v>
          </cell>
          <cell r="L72">
            <v>44621</v>
          </cell>
          <cell r="M72">
            <v>44621</v>
          </cell>
          <cell r="N72">
            <v>45078</v>
          </cell>
          <cell r="O72">
            <v>44986</v>
          </cell>
          <cell r="P72">
            <v>53844</v>
          </cell>
          <cell r="Q72">
            <v>44621</v>
          </cell>
          <cell r="R72">
            <v>4</v>
          </cell>
          <cell r="S72">
            <v>44621</v>
          </cell>
          <cell r="T72" t="str">
            <v>ICETA BAEZA ANTONIO</v>
          </cell>
          <cell r="U72" t="str">
            <v>AICETA@CODELCO.CL</v>
          </cell>
          <cell r="V72" t="str">
            <v>Gerencia de Operaciones</v>
          </cell>
          <cell r="W72" t="str">
            <v>Sptcia. Operacion Mina</v>
          </cell>
          <cell r="X72" t="str">
            <v>Sptcia. Operacion Mina</v>
          </cell>
          <cell r="Y72" t="str">
            <v>Operativo</v>
          </cell>
          <cell r="Z72" t="str">
            <v>Indefinido</v>
          </cell>
        </row>
        <row r="73">
          <cell r="A73" t="str">
            <v>302203</v>
          </cell>
          <cell r="B73" t="str">
            <v>138274195</v>
          </cell>
          <cell r="C73" t="str">
            <v>ARANCIBIA VALDES LINDOR ROBERTO</v>
          </cell>
          <cell r="D73" t="str">
            <v>Operador Mina</v>
          </cell>
          <cell r="E73" t="str">
            <v>Oper. 7X7 12 Hrs TAB G01</v>
          </cell>
          <cell r="F73" t="str">
            <v>Masculino</v>
          </cell>
          <cell r="G73" t="str">
            <v>LARAN025@CODELCO.CL</v>
          </cell>
          <cell r="H73">
            <v>45</v>
          </cell>
          <cell r="I73">
            <v>44621</v>
          </cell>
          <cell r="J73">
            <v>45352</v>
          </cell>
          <cell r="K73" t="str">
            <v>10</v>
          </cell>
          <cell r="L73">
            <v>44621</v>
          </cell>
          <cell r="M73">
            <v>44621</v>
          </cell>
          <cell r="N73">
            <v>45352</v>
          </cell>
          <cell r="O73">
            <v>44986</v>
          </cell>
          <cell r="P73">
            <v>45803</v>
          </cell>
          <cell r="Q73">
            <v>44621</v>
          </cell>
          <cell r="R73">
            <v>4</v>
          </cell>
          <cell r="S73">
            <v>44621</v>
          </cell>
          <cell r="T73" t="str">
            <v>ICETA BAEZA ANTONIO</v>
          </cell>
          <cell r="U73" t="str">
            <v>AICETA@CODELCO.CL</v>
          </cell>
          <cell r="V73" t="str">
            <v>Gerencia de Operaciones</v>
          </cell>
          <cell r="W73" t="str">
            <v>Sptcia. Operacion Mina</v>
          </cell>
          <cell r="X73" t="str">
            <v>Sptcia. Operacion Mina</v>
          </cell>
          <cell r="Y73" t="str">
            <v>Operativo</v>
          </cell>
          <cell r="Z73" t="str">
            <v>Indefinido</v>
          </cell>
        </row>
        <row r="74">
          <cell r="A74" t="str">
            <v>302204</v>
          </cell>
          <cell r="B74" t="str">
            <v>185799735</v>
          </cell>
          <cell r="C74" t="str">
            <v>VARAS ORELLANA NAYARETT SOLEDAD</v>
          </cell>
          <cell r="D74" t="str">
            <v>Operador Mina</v>
          </cell>
          <cell r="E74" t="str">
            <v>Oper. 7X7 12 Hrs TAB G04</v>
          </cell>
          <cell r="F74" t="str">
            <v>Femenino</v>
          </cell>
          <cell r="G74" t="str">
            <v>NVARA006@CODELCO.CL</v>
          </cell>
          <cell r="H74">
            <v>33</v>
          </cell>
          <cell r="I74">
            <v>44621</v>
          </cell>
          <cell r="J74">
            <v>44896</v>
          </cell>
          <cell r="K74" t="str">
            <v>10</v>
          </cell>
          <cell r="L74">
            <v>44896</v>
          </cell>
          <cell r="M74">
            <v>44621</v>
          </cell>
          <cell r="N74">
            <v>44896</v>
          </cell>
          <cell r="O74">
            <v>44621</v>
          </cell>
          <cell r="P74">
            <v>45803</v>
          </cell>
          <cell r="Q74">
            <v>44621</v>
          </cell>
          <cell r="R74">
            <v>4</v>
          </cell>
          <cell r="S74">
            <v>44896</v>
          </cell>
          <cell r="T74" t="str">
            <v>Sin asignar</v>
          </cell>
          <cell r="U74" t="str">
            <v>Sin asignar</v>
          </cell>
          <cell r="V74" t="str">
            <v>Gerencia de Operaciones</v>
          </cell>
          <cell r="W74" t="str">
            <v>Sptcia. Operacion Mina</v>
          </cell>
          <cell r="X74" t="str">
            <v>Sptcia. Operacion Mina</v>
          </cell>
          <cell r="Y74" t="str">
            <v>Operativo</v>
          </cell>
          <cell r="Z74" t="str">
            <v>Indefinido</v>
          </cell>
        </row>
        <row r="75">
          <cell r="A75" t="str">
            <v>302205</v>
          </cell>
          <cell r="B75" t="str">
            <v>159761576</v>
          </cell>
          <cell r="C75" t="str">
            <v>JOFRE TORRES GIANNI ORLANDO</v>
          </cell>
          <cell r="D75" t="str">
            <v>Operador Mina</v>
          </cell>
          <cell r="E75" t="str">
            <v>Oper. 7X7 12 Hrs TAB G01</v>
          </cell>
          <cell r="F75" t="str">
            <v>Masculino</v>
          </cell>
          <cell r="G75" t="str">
            <v>GJOFR007@CODELCO.CL</v>
          </cell>
          <cell r="H75">
            <v>41</v>
          </cell>
          <cell r="I75">
            <v>44621</v>
          </cell>
          <cell r="J75">
            <v>44896</v>
          </cell>
          <cell r="K75" t="str">
            <v>10</v>
          </cell>
          <cell r="L75">
            <v>44896</v>
          </cell>
          <cell r="M75">
            <v>44621</v>
          </cell>
          <cell r="N75">
            <v>44896</v>
          </cell>
          <cell r="O75">
            <v>44621</v>
          </cell>
          <cell r="P75">
            <v>45803</v>
          </cell>
          <cell r="Q75">
            <v>44621</v>
          </cell>
          <cell r="R75">
            <v>4</v>
          </cell>
          <cell r="S75">
            <v>44896</v>
          </cell>
          <cell r="T75" t="str">
            <v>ICETA BAEZA ANTONIO</v>
          </cell>
          <cell r="U75" t="str">
            <v>AICETA@CODELCO.CL</v>
          </cell>
          <cell r="V75" t="str">
            <v>Gerencia de Operaciones</v>
          </cell>
          <cell r="W75" t="str">
            <v>Sptcia. Operacion Mina</v>
          </cell>
          <cell r="X75" t="str">
            <v>Sptcia. Operacion Mina</v>
          </cell>
          <cell r="Y75" t="str">
            <v>Operativo</v>
          </cell>
          <cell r="Z75" t="str">
            <v>Indefinido</v>
          </cell>
        </row>
        <row r="76">
          <cell r="A76" t="str">
            <v>302206</v>
          </cell>
          <cell r="B76" t="str">
            <v>157607863</v>
          </cell>
          <cell r="C76" t="str">
            <v>RODRIGUEZ SALINAS ROBERTO</v>
          </cell>
          <cell r="D76" t="str">
            <v>Operador Mina</v>
          </cell>
          <cell r="E76" t="str">
            <v>Oper. 7X7 12 Hrs TAB G04</v>
          </cell>
          <cell r="F76" t="str">
            <v>Masculino</v>
          </cell>
          <cell r="G76" t="str">
            <v>RRODR043@CODELCO.CL</v>
          </cell>
          <cell r="H76">
            <v>42</v>
          </cell>
          <cell r="I76">
            <v>44621</v>
          </cell>
          <cell r="J76">
            <v>44896</v>
          </cell>
          <cell r="K76" t="str">
            <v>#</v>
          </cell>
          <cell r="L76">
            <v>44621</v>
          </cell>
          <cell r="M76">
            <v>44621</v>
          </cell>
          <cell r="N76">
            <v>44896</v>
          </cell>
          <cell r="O76">
            <v>44896</v>
          </cell>
          <cell r="P76">
            <v>67218</v>
          </cell>
          <cell r="Q76">
            <v>44621</v>
          </cell>
          <cell r="R76">
            <v>4</v>
          </cell>
          <cell r="S76">
            <v>44621</v>
          </cell>
          <cell r="T76" t="str">
            <v>Sin asignar</v>
          </cell>
          <cell r="U76" t="str">
            <v>Sin asignar</v>
          </cell>
          <cell r="V76" t="str">
            <v>Gerencia de Operaciones</v>
          </cell>
          <cell r="W76" t="str">
            <v>Sptcia. Operacion Mina</v>
          </cell>
          <cell r="X76" t="str">
            <v>Sptcia. Operacion Mina</v>
          </cell>
          <cell r="Y76" t="str">
            <v>Operativo</v>
          </cell>
          <cell r="Z76" t="str">
            <v>Indefinido</v>
          </cell>
        </row>
        <row r="77">
          <cell r="A77" t="str">
            <v>302236</v>
          </cell>
          <cell r="B77" t="str">
            <v>168754582</v>
          </cell>
          <cell r="C77" t="str">
            <v>MONTAN PIRACES DIEGO</v>
          </cell>
          <cell r="D77" t="str">
            <v>Geólogo/a Geotécnico/a</v>
          </cell>
          <cell r="E77" t="str">
            <v>Oper. 7X7 12 Hrs TAB A05</v>
          </cell>
          <cell r="F77" t="str">
            <v>Masculino</v>
          </cell>
          <cell r="G77" t="str">
            <v>DMONT010@CODELCO.CL</v>
          </cell>
          <cell r="H77">
            <v>37</v>
          </cell>
          <cell r="I77">
            <v>44634</v>
          </cell>
          <cell r="J77">
            <v>44713</v>
          </cell>
          <cell r="K77" t="str">
            <v>#</v>
          </cell>
          <cell r="L77">
            <v>44634</v>
          </cell>
          <cell r="M77">
            <v>44634</v>
          </cell>
          <cell r="N77">
            <v>44108</v>
          </cell>
          <cell r="O77">
            <v>44805</v>
          </cell>
          <cell r="P77">
            <v>44108</v>
          </cell>
          <cell r="Q77">
            <v>44634</v>
          </cell>
          <cell r="R77">
            <v>4</v>
          </cell>
          <cell r="S77">
            <v>44634</v>
          </cell>
          <cell r="T77" t="str">
            <v>VARGAS ENCINA CAROLINA ALEJANDRA</v>
          </cell>
          <cell r="U77" t="str">
            <v>CVARG029@CODELCO.CL</v>
          </cell>
          <cell r="V77" t="str">
            <v>Gerencia de Recursos Mineros y Desarr</v>
          </cell>
          <cell r="W77" t="str">
            <v>Superintendencia de Geotecnia</v>
          </cell>
          <cell r="X77" t="str">
            <v>Superintendencia de Geotecnia</v>
          </cell>
          <cell r="Y77" t="str">
            <v>Profesional</v>
          </cell>
          <cell r="Z77" t="str">
            <v>Indefinido</v>
          </cell>
        </row>
        <row r="78">
          <cell r="A78" t="str">
            <v>302240</v>
          </cell>
          <cell r="B78" t="str">
            <v>184137011</v>
          </cell>
          <cell r="C78" t="str">
            <v>HEMMELMANN FUENTES NATHALIE</v>
          </cell>
          <cell r="D78" t="str">
            <v>Ingeniero Esp. Confiabilidad</v>
          </cell>
          <cell r="E78" t="str">
            <v>Prof. 4X3 12 hrs</v>
          </cell>
          <cell r="F78" t="str">
            <v>Femenino</v>
          </cell>
          <cell r="G78" t="str">
            <v>NHEMM001@CODELCO.CL</v>
          </cell>
          <cell r="H78">
            <v>32</v>
          </cell>
          <cell r="I78">
            <v>44634</v>
          </cell>
          <cell r="J78">
            <v>45748</v>
          </cell>
          <cell r="K78" t="str">
            <v>6</v>
          </cell>
          <cell r="L78">
            <v>45748</v>
          </cell>
          <cell r="M78">
            <v>44634</v>
          </cell>
          <cell r="N78">
            <v>44991</v>
          </cell>
          <cell r="O78">
            <v>44991</v>
          </cell>
          <cell r="P78">
            <v>44701</v>
          </cell>
          <cell r="Q78">
            <v>44634</v>
          </cell>
          <cell r="R78">
            <v>4</v>
          </cell>
          <cell r="S78">
            <v>44634</v>
          </cell>
          <cell r="T78" t="str">
            <v>HERRERA CORALES CLAUDIO</v>
          </cell>
          <cell r="U78" t="str">
            <v>CHERR002@CODELCO.CL</v>
          </cell>
          <cell r="V78" t="str">
            <v>Gerencia de Mantenimiento</v>
          </cell>
          <cell r="W78" t="str">
            <v>Superintendencia de Confiabilidad</v>
          </cell>
          <cell r="X78" t="str">
            <v>Superintendencia de Confiabilidad</v>
          </cell>
          <cell r="Y78" t="str">
            <v>Profesional</v>
          </cell>
          <cell r="Z78" t="str">
            <v>Indefinido</v>
          </cell>
        </row>
        <row r="79">
          <cell r="A79" t="str">
            <v>302242</v>
          </cell>
          <cell r="B79" t="str">
            <v>188272274</v>
          </cell>
          <cell r="C79" t="str">
            <v>ARAYA OLIVA JAVIERA</v>
          </cell>
          <cell r="D79" t="str">
            <v>Operador Mina</v>
          </cell>
          <cell r="E79" t="str">
            <v>Oper. 7X7 12 Hrs TAB G03</v>
          </cell>
          <cell r="F79" t="str">
            <v>Femenino</v>
          </cell>
          <cell r="G79" t="str">
            <v>JARAY152@CODELCO.CL</v>
          </cell>
          <cell r="H79">
            <v>30</v>
          </cell>
          <cell r="I79">
            <v>44634</v>
          </cell>
          <cell r="J79">
            <v>44896</v>
          </cell>
          <cell r="K79" t="str">
            <v>10</v>
          </cell>
          <cell r="L79">
            <v>44621</v>
          </cell>
          <cell r="M79">
            <v>44634</v>
          </cell>
          <cell r="N79">
            <v>44896</v>
          </cell>
          <cell r="O79">
            <v>44634</v>
          </cell>
          <cell r="P79">
            <v>46347</v>
          </cell>
          <cell r="Q79">
            <v>44634</v>
          </cell>
          <cell r="R79">
            <v>4</v>
          </cell>
          <cell r="S79">
            <v>44896</v>
          </cell>
          <cell r="T79" t="str">
            <v>ZUMELZU BRAVO MARYLIN</v>
          </cell>
          <cell r="U79" t="str">
            <v>MZUME001@CODELCO.CL</v>
          </cell>
          <cell r="V79" t="str">
            <v>Gerencia de Operaciones</v>
          </cell>
          <cell r="W79" t="str">
            <v>Sptcia. Operacion Mina</v>
          </cell>
          <cell r="X79" t="str">
            <v>Sptcia. Operacion Mina</v>
          </cell>
          <cell r="Y79" t="str">
            <v>Operativo</v>
          </cell>
          <cell r="Z79" t="str">
            <v>Indefinido</v>
          </cell>
        </row>
        <row r="80">
          <cell r="A80" t="str">
            <v>302265</v>
          </cell>
          <cell r="B80" t="str">
            <v>017735970K</v>
          </cell>
          <cell r="C80" t="str">
            <v>CUELLO GONZALEZ NELSON</v>
          </cell>
          <cell r="D80" t="str">
            <v>Ingeniero Planif. Chancado</v>
          </cell>
          <cell r="E80" t="str">
            <v>Prof. 4X3 12 hrs</v>
          </cell>
          <cell r="F80" t="str">
            <v>Masculino</v>
          </cell>
          <cell r="G80" t="str">
            <v>NCUEL003@CODELCO.CL</v>
          </cell>
          <cell r="H80">
            <v>35</v>
          </cell>
          <cell r="I80">
            <v>44655</v>
          </cell>
          <cell r="J80">
            <v>44896</v>
          </cell>
          <cell r="K80" t="str">
            <v>8</v>
          </cell>
          <cell r="L80">
            <v>45597</v>
          </cell>
          <cell r="M80">
            <v>44655</v>
          </cell>
          <cell r="N80">
            <v>44896</v>
          </cell>
          <cell r="O80">
            <v>44896</v>
          </cell>
          <cell r="P80">
            <v>44531</v>
          </cell>
          <cell r="Q80">
            <v>44655</v>
          </cell>
          <cell r="R80">
            <v>4</v>
          </cell>
          <cell r="S80">
            <v>44655</v>
          </cell>
          <cell r="T80" t="str">
            <v>HERRERA FUENZALIDA ALEX</v>
          </cell>
          <cell r="U80" t="str">
            <v>AHERR024@CODELCO.CL</v>
          </cell>
          <cell r="V80" t="str">
            <v>Gerencia de Mantenimiento</v>
          </cell>
          <cell r="W80" t="str">
            <v>Sptcia. Planificacion Mantenimiento</v>
          </cell>
          <cell r="X80" t="str">
            <v>Sptcia. Planificacion Mantenimiento</v>
          </cell>
          <cell r="Y80" t="str">
            <v>Profesional</v>
          </cell>
          <cell r="Z80" t="str">
            <v>Indefinido</v>
          </cell>
        </row>
        <row r="81">
          <cell r="A81" t="str">
            <v>302266</v>
          </cell>
          <cell r="B81" t="str">
            <v>138515044</v>
          </cell>
          <cell r="C81" t="str">
            <v>CAMPOS LISBOA FRANCISCO</v>
          </cell>
          <cell r="D81" t="str">
            <v>Experto Prev. Riesgos</v>
          </cell>
          <cell r="E81" t="str">
            <v>Oper. 7X7 12 Hrs TAB A06</v>
          </cell>
          <cell r="F81" t="str">
            <v>Masculino</v>
          </cell>
          <cell r="G81" t="str">
            <v>FCAMP024@CODELCO.CL</v>
          </cell>
          <cell r="H81">
            <v>46</v>
          </cell>
          <cell r="I81">
            <v>44655</v>
          </cell>
          <cell r="J81">
            <v>45601</v>
          </cell>
          <cell r="K81" t="str">
            <v>6</v>
          </cell>
          <cell r="L81">
            <v>45931</v>
          </cell>
          <cell r="M81">
            <v>44655</v>
          </cell>
          <cell r="N81">
            <v>44896</v>
          </cell>
          <cell r="O81">
            <v>44634</v>
          </cell>
          <cell r="P81">
            <v>46347</v>
          </cell>
          <cell r="Q81">
            <v>44655</v>
          </cell>
          <cell r="R81">
            <v>4</v>
          </cell>
          <cell r="S81">
            <v>44655</v>
          </cell>
          <cell r="T81" t="str">
            <v>MOLGAS ZEPEDA MARCOS BENJAMIN</v>
          </cell>
          <cell r="U81" t="str">
            <v>MMOLG001@CODELCO.CL</v>
          </cell>
          <cell r="V81" t="str">
            <v>Gerencia de Seguridad y Salud Ocup.</v>
          </cell>
          <cell r="W81" t="str">
            <v>Direccion de Seguridad</v>
          </cell>
          <cell r="X81" t="str">
            <v>Direccion de Seguridad</v>
          </cell>
          <cell r="Y81" t="str">
            <v>Profesional</v>
          </cell>
          <cell r="Z81" t="str">
            <v>Indefinido</v>
          </cell>
        </row>
        <row r="82">
          <cell r="A82" t="str">
            <v>302267</v>
          </cell>
          <cell r="B82" t="str">
            <v>164356183</v>
          </cell>
          <cell r="C82" t="str">
            <v>HERRERA PIZARRO DAMARI</v>
          </cell>
          <cell r="D82" t="str">
            <v>Director/a Desarrollo de Personas</v>
          </cell>
          <cell r="E82" t="str">
            <v>Prof. 4X3 12 hrs</v>
          </cell>
          <cell r="F82" t="str">
            <v>Femenino</v>
          </cell>
          <cell r="G82" t="str">
            <v>DHERR013@CODELCO.CL</v>
          </cell>
          <cell r="H82">
            <v>40</v>
          </cell>
          <cell r="I82">
            <v>44662</v>
          </cell>
          <cell r="J82">
            <v>45748</v>
          </cell>
          <cell r="K82" t="str">
            <v>5</v>
          </cell>
          <cell r="L82">
            <v>45748</v>
          </cell>
          <cell r="M82">
            <v>44662</v>
          </cell>
          <cell r="N82">
            <v>45748</v>
          </cell>
          <cell r="O82">
            <v>45748</v>
          </cell>
          <cell r="P82">
            <v>51933</v>
          </cell>
          <cell r="Q82">
            <v>44662</v>
          </cell>
          <cell r="R82">
            <v>4</v>
          </cell>
          <cell r="S82">
            <v>44662</v>
          </cell>
          <cell r="T82" t="str">
            <v>RAMIREZ CHOQUE PAOLA ALEJANDRA</v>
          </cell>
          <cell r="U82" t="str">
            <v>PRAMI002@CODELCO.CL</v>
          </cell>
          <cell r="V82" t="str">
            <v>Gerencia de Gestión de Personas</v>
          </cell>
          <cell r="W82" t="str">
            <v>Dirección de Desarrollo de Personas</v>
          </cell>
          <cell r="X82" t="str">
            <v>Dirección de Desarrollo de Personas</v>
          </cell>
          <cell r="Y82" t="str">
            <v>Profesional</v>
          </cell>
          <cell r="Z82" t="str">
            <v>Indefinido</v>
          </cell>
        </row>
        <row r="83">
          <cell r="A83" t="str">
            <v>302268</v>
          </cell>
          <cell r="B83" t="str">
            <v>181044861</v>
          </cell>
          <cell r="C83" t="str">
            <v>NEUT VILLANUEVA FRANCISCA GABRIELA</v>
          </cell>
          <cell r="D83" t="str">
            <v>Gerente Seguridad y Salud Ocupac.</v>
          </cell>
          <cell r="E83" t="str">
            <v>Prof. 4X3 12 hrs</v>
          </cell>
          <cell r="F83" t="str">
            <v>Femenino</v>
          </cell>
          <cell r="G83" t="str">
            <v>FNEUT001@CODELCO.CL</v>
          </cell>
          <cell r="H83">
            <v>34</v>
          </cell>
          <cell r="I83">
            <v>44662</v>
          </cell>
          <cell r="J83">
            <v>45566</v>
          </cell>
          <cell r="K83" t="str">
            <v>19</v>
          </cell>
          <cell r="L83">
            <v>45566</v>
          </cell>
          <cell r="M83">
            <v>44662</v>
          </cell>
          <cell r="N83">
            <v>45566</v>
          </cell>
          <cell r="O83">
            <v>43808</v>
          </cell>
          <cell r="P83">
            <v>54957</v>
          </cell>
          <cell r="Q83">
            <v>44662</v>
          </cell>
          <cell r="R83">
            <v>4</v>
          </cell>
          <cell r="S83">
            <v>45566</v>
          </cell>
          <cell r="T83" t="str">
            <v>CABRERA CORREA CLAUDIA ALEJANDRA</v>
          </cell>
          <cell r="U83" t="str">
            <v>CLAUDIA.CABRERA@CODE</v>
          </cell>
          <cell r="V83" t="str">
            <v>Gerencia de Seguridad y Salud Ocup.</v>
          </cell>
          <cell r="W83" t="str">
            <v>Sin asignar</v>
          </cell>
          <cell r="X83" t="str">
            <v>Gerencia de Seguridad y Salud Ocup.</v>
          </cell>
          <cell r="Y83" t="str">
            <v>Ejecutivo</v>
          </cell>
          <cell r="Z83" t="str">
            <v>Indefinido</v>
          </cell>
        </row>
        <row r="84">
          <cell r="A84" t="str">
            <v>302293</v>
          </cell>
          <cell r="B84" t="str">
            <v>192057795</v>
          </cell>
          <cell r="C84" t="str">
            <v>DOMINGUEZ TABILO HERIN SEBASTIAN</v>
          </cell>
          <cell r="D84" t="str">
            <v>Operador Planta AS</v>
          </cell>
          <cell r="E84" t="str">
            <v>Oper. 7X7 12 Hrs TAB G03</v>
          </cell>
          <cell r="F84" t="str">
            <v>Masculino</v>
          </cell>
          <cell r="G84" t="str">
            <v>HDOMI001@CODELCO.CL</v>
          </cell>
          <cell r="H84">
            <v>30</v>
          </cell>
          <cell r="I84">
            <v>44662</v>
          </cell>
          <cell r="J84">
            <v>45689</v>
          </cell>
          <cell r="K84" t="str">
            <v>#</v>
          </cell>
          <cell r="L84">
            <v>44662</v>
          </cell>
          <cell r="M84">
            <v>44662</v>
          </cell>
          <cell r="N84">
            <v>44986</v>
          </cell>
          <cell r="O84">
            <v>44621</v>
          </cell>
          <cell r="P84">
            <v>59199</v>
          </cell>
          <cell r="Q84">
            <v>44662</v>
          </cell>
          <cell r="R84">
            <v>4</v>
          </cell>
          <cell r="S84">
            <v>44662</v>
          </cell>
          <cell r="T84" t="str">
            <v>VILCA LLAVE ALBERT ANTONIO</v>
          </cell>
          <cell r="U84" t="str">
            <v>AVILC003@CODELCO.CL</v>
          </cell>
          <cell r="V84" t="str">
            <v>Gerencia de Operaciones</v>
          </cell>
          <cell r="W84" t="str">
            <v>Sptcia. Operacion Area Seca</v>
          </cell>
          <cell r="X84" t="str">
            <v>Sptcia. Operacion Area Seca</v>
          </cell>
          <cell r="Y84" t="str">
            <v>Operativo</v>
          </cell>
          <cell r="Z84" t="str">
            <v>Indefinido</v>
          </cell>
        </row>
        <row r="85">
          <cell r="A85" t="str">
            <v>302315</v>
          </cell>
          <cell r="B85" t="str">
            <v>181252324</v>
          </cell>
          <cell r="C85" t="str">
            <v>CASTILLO SAN CRISTOBAL ADRIEN ANDRES</v>
          </cell>
          <cell r="D85" t="str">
            <v>Ing. Planificación Mantenimiento</v>
          </cell>
          <cell r="E85" t="str">
            <v>Oper. 7X7 12 Hrs TAB A05</v>
          </cell>
          <cell r="F85" t="str">
            <v>Masculino</v>
          </cell>
          <cell r="G85" t="str">
            <v>ACAST075@CODELCO.CL</v>
          </cell>
          <cell r="H85">
            <v>36</v>
          </cell>
          <cell r="I85">
            <v>44669</v>
          </cell>
          <cell r="J85">
            <v>45139</v>
          </cell>
          <cell r="K85" t="str">
            <v>#</v>
          </cell>
          <cell r="L85">
            <v>45139</v>
          </cell>
          <cell r="M85">
            <v>44669</v>
          </cell>
          <cell r="N85">
            <v>36465</v>
          </cell>
          <cell r="O85">
            <v>45139</v>
          </cell>
          <cell r="P85">
            <v>49068</v>
          </cell>
          <cell r="Q85">
            <v>44669</v>
          </cell>
          <cell r="R85">
            <v>3</v>
          </cell>
          <cell r="S85">
            <v>44669</v>
          </cell>
          <cell r="T85" t="str">
            <v>DONOSO NOGALES PEDRO ARNOLDO</v>
          </cell>
          <cell r="U85" t="str">
            <v>PDONO007@CODELCO.CL</v>
          </cell>
          <cell r="V85" t="str">
            <v>Gerencia de Mantenimiento</v>
          </cell>
          <cell r="W85" t="str">
            <v>Sptcia. Planificacion Mantenimiento</v>
          </cell>
          <cell r="X85" t="str">
            <v>Sptcia. Planificacion Mantenimiento</v>
          </cell>
          <cell r="Y85" t="str">
            <v>Profesional</v>
          </cell>
          <cell r="Z85" t="str">
            <v>Indefinido</v>
          </cell>
        </row>
        <row r="86">
          <cell r="A86" t="str">
            <v>302386</v>
          </cell>
          <cell r="B86" t="str">
            <v>136425668</v>
          </cell>
          <cell r="C86" t="str">
            <v>MUÑOZ VARAS HECTOR</v>
          </cell>
          <cell r="D86" t="str">
            <v>Ingeniero Turno Mtto.</v>
          </cell>
          <cell r="E86" t="str">
            <v>Oper. 7X7 12 Hrs TAB A05</v>
          </cell>
          <cell r="F86" t="str">
            <v>Masculino</v>
          </cell>
          <cell r="G86" t="str">
            <v>HMUNO029@CODELCO.CL</v>
          </cell>
          <cell r="H86">
            <v>47</v>
          </cell>
          <cell r="I86">
            <v>44697</v>
          </cell>
          <cell r="J86">
            <v>45717</v>
          </cell>
          <cell r="K86" t="str">
            <v>8</v>
          </cell>
          <cell r="L86">
            <v>44697</v>
          </cell>
          <cell r="M86">
            <v>44697</v>
          </cell>
          <cell r="N86">
            <v>40832</v>
          </cell>
          <cell r="O86">
            <v>41198</v>
          </cell>
          <cell r="P86">
            <v>60556</v>
          </cell>
          <cell r="Q86">
            <v>44697</v>
          </cell>
          <cell r="R86">
            <v>4</v>
          </cell>
          <cell r="S86">
            <v>44697</v>
          </cell>
          <cell r="T86" t="str">
            <v>RUZ MIRANDA DANIEL ESTEBAN</v>
          </cell>
          <cell r="U86" t="str">
            <v>DRUZ@CODELCO.CL</v>
          </cell>
          <cell r="V86" t="str">
            <v>Gerencia de Mantenimiento</v>
          </cell>
          <cell r="W86" t="str">
            <v>Sptcia. Mtto. Mina</v>
          </cell>
          <cell r="X86" t="str">
            <v>Sptcia. Mtto. Mina</v>
          </cell>
          <cell r="Y86" t="str">
            <v>Profesional</v>
          </cell>
          <cell r="Z86" t="str">
            <v>Indefinido</v>
          </cell>
        </row>
        <row r="87">
          <cell r="A87" t="str">
            <v>302397</v>
          </cell>
          <cell r="B87" t="str">
            <v>183075616</v>
          </cell>
          <cell r="C87" t="str">
            <v>DÍAZ OLIVARES JUAN EDUARDO</v>
          </cell>
          <cell r="D87" t="str">
            <v>Ingeniero Turno Mtto. Chancado y Apilam.</v>
          </cell>
          <cell r="E87" t="str">
            <v>Oper. 7X7 12 Hrs TAB G01</v>
          </cell>
          <cell r="F87" t="str">
            <v>Masculino</v>
          </cell>
          <cell r="G87" t="str">
            <v>JDIAZ132@CODELCO.CL</v>
          </cell>
          <cell r="H87">
            <v>45</v>
          </cell>
          <cell r="I87">
            <v>44713</v>
          </cell>
          <cell r="J87">
            <v>44713</v>
          </cell>
          <cell r="K87" t="str">
            <v>8</v>
          </cell>
          <cell r="L87">
            <v>44713</v>
          </cell>
          <cell r="M87">
            <v>44713</v>
          </cell>
          <cell r="N87">
            <v>44683</v>
          </cell>
          <cell r="O87">
            <v>44683</v>
          </cell>
          <cell r="P87">
            <v>44683</v>
          </cell>
          <cell r="Q87">
            <v>44713</v>
          </cell>
          <cell r="R87">
            <v>4</v>
          </cell>
          <cell r="S87">
            <v>44713</v>
          </cell>
          <cell r="T87" t="str">
            <v>GUTIÉRREZ VALENCIA JAVIERA PAZ</v>
          </cell>
          <cell r="U87" t="str">
            <v>JGUTI050@CODELCO.CL</v>
          </cell>
          <cell r="V87" t="str">
            <v>Gerencia de Mantenimiento</v>
          </cell>
          <cell r="W87" t="str">
            <v>Sptcia. Mtto. Area Seca</v>
          </cell>
          <cell r="X87" t="str">
            <v>Sptcia. Mtto. Area Seca</v>
          </cell>
          <cell r="Y87" t="str">
            <v>Profesional</v>
          </cell>
          <cell r="Z87" t="str">
            <v>Indefinido</v>
          </cell>
        </row>
        <row r="88">
          <cell r="A88" t="str">
            <v>302403</v>
          </cell>
          <cell r="B88" t="str">
            <v>165002148</v>
          </cell>
          <cell r="C88" t="str">
            <v>DENEKEN PALMA RODERICH ALEXANDER</v>
          </cell>
          <cell r="D88" t="str">
            <v>Especialista Operativo Mmto AH</v>
          </cell>
          <cell r="E88" t="str">
            <v>Oper. 7X7 12 Hrs TAB A06</v>
          </cell>
          <cell r="F88" t="str">
            <v>Masculino</v>
          </cell>
          <cell r="G88" t="str">
            <v>RDENE001@CODELCO.CL</v>
          </cell>
          <cell r="H88">
            <v>39</v>
          </cell>
          <cell r="I88">
            <v>44713</v>
          </cell>
          <cell r="J88">
            <v>44713</v>
          </cell>
          <cell r="K88" t="str">
            <v>#</v>
          </cell>
          <cell r="L88">
            <v>44713</v>
          </cell>
          <cell r="M88">
            <v>44713</v>
          </cell>
          <cell r="N88">
            <v>44683</v>
          </cell>
          <cell r="O88">
            <v>44683</v>
          </cell>
          <cell r="P88">
            <v>44683</v>
          </cell>
          <cell r="Q88">
            <v>44713</v>
          </cell>
          <cell r="R88">
            <v>4</v>
          </cell>
          <cell r="S88">
            <v>44713</v>
          </cell>
          <cell r="T88" t="str">
            <v>SILVA LARRAIN CESAR</v>
          </cell>
          <cell r="U88" t="str">
            <v>CSILV021@CODELCO.CL</v>
          </cell>
          <cell r="V88" t="str">
            <v>Gerencia de Mantenimiento</v>
          </cell>
          <cell r="W88" t="str">
            <v>Sptcia. Mtto. Area Humeda</v>
          </cell>
          <cell r="X88" t="str">
            <v>Sptcia. Mtto. Area Humeda</v>
          </cell>
          <cell r="Y88" t="str">
            <v>Operativo</v>
          </cell>
          <cell r="Z88" t="str">
            <v>Indefinido</v>
          </cell>
        </row>
        <row r="89">
          <cell r="A89" t="str">
            <v>302404</v>
          </cell>
          <cell r="B89" t="str">
            <v>188254454</v>
          </cell>
          <cell r="C89" t="str">
            <v>GONZÁLEZ MAMANI VÍCTOR ELIEL</v>
          </cell>
          <cell r="D89" t="str">
            <v>Operador Chancado Primario</v>
          </cell>
          <cell r="E89" t="str">
            <v>Oper. 7X7 12 Hrs TAB G03</v>
          </cell>
          <cell r="F89" t="str">
            <v>Masculino</v>
          </cell>
          <cell r="G89" t="str">
            <v>VGONZ044@CODELCO.CL</v>
          </cell>
          <cell r="H89">
            <v>32</v>
          </cell>
          <cell r="I89">
            <v>44713</v>
          </cell>
          <cell r="J89">
            <v>44713</v>
          </cell>
          <cell r="K89" t="str">
            <v>10</v>
          </cell>
          <cell r="L89">
            <v>44713</v>
          </cell>
          <cell r="M89">
            <v>44713</v>
          </cell>
          <cell r="N89">
            <v>44896</v>
          </cell>
          <cell r="O89">
            <v>44896</v>
          </cell>
          <cell r="P89">
            <v>44531</v>
          </cell>
          <cell r="Q89">
            <v>44713</v>
          </cell>
          <cell r="R89">
            <v>4</v>
          </cell>
          <cell r="S89">
            <v>44713</v>
          </cell>
          <cell r="T89" t="str">
            <v>ARAYA JAIME VALESKA</v>
          </cell>
          <cell r="U89" t="str">
            <v>VARAY013@CODELCO.CL</v>
          </cell>
          <cell r="V89" t="str">
            <v>Gerencia de Operaciones</v>
          </cell>
          <cell r="W89" t="str">
            <v>Sptcia. Operacion Area Seca</v>
          </cell>
          <cell r="X89" t="str">
            <v>Sptcia. Operacion Area Seca</v>
          </cell>
          <cell r="Y89" t="str">
            <v>Operativo</v>
          </cell>
          <cell r="Z89" t="str">
            <v>Indefinido</v>
          </cell>
        </row>
        <row r="90">
          <cell r="A90" t="str">
            <v>302439</v>
          </cell>
          <cell r="B90" t="str">
            <v>178979310</v>
          </cell>
          <cell r="C90" t="str">
            <v>ROBLES ACUÑA MANUEL</v>
          </cell>
          <cell r="D90" t="str">
            <v>Especialista Operativo Infraestructura</v>
          </cell>
          <cell r="E90" t="str">
            <v>Oper. 7X7 12 Hrs TAB G02</v>
          </cell>
          <cell r="F90" t="str">
            <v>Masculino</v>
          </cell>
          <cell r="G90" t="str">
            <v>MROBL007@CODELCO.CL</v>
          </cell>
          <cell r="H90">
            <v>35</v>
          </cell>
          <cell r="I90">
            <v>44725</v>
          </cell>
          <cell r="J90">
            <v>44725</v>
          </cell>
          <cell r="K90" t="str">
            <v>9</v>
          </cell>
          <cell r="L90">
            <v>45413</v>
          </cell>
          <cell r="M90">
            <v>44725</v>
          </cell>
          <cell r="N90">
            <v>44900</v>
          </cell>
          <cell r="O90">
            <v>44900</v>
          </cell>
          <cell r="P90">
            <v>55271</v>
          </cell>
          <cell r="Q90">
            <v>44725</v>
          </cell>
          <cell r="R90">
            <v>4</v>
          </cell>
          <cell r="S90">
            <v>44725</v>
          </cell>
          <cell r="T90" t="str">
            <v>ONETO GONZALEZ CRISTIAN</v>
          </cell>
          <cell r="U90" t="str">
            <v>CONETO@CODELCO.CL</v>
          </cell>
          <cell r="V90" t="str">
            <v>Gerencia de Administración</v>
          </cell>
          <cell r="W90" t="str">
            <v>Supte. Proyectos, Infra. y Suministros</v>
          </cell>
          <cell r="X90" t="str">
            <v>Supte. Proyectos, Infra. y Suministros</v>
          </cell>
          <cell r="Y90" t="str">
            <v>Operativo</v>
          </cell>
          <cell r="Z90" t="str">
            <v>Indefinido</v>
          </cell>
        </row>
        <row r="91">
          <cell r="A91" t="str">
            <v>302683</v>
          </cell>
          <cell r="B91" t="str">
            <v>178127438</v>
          </cell>
          <cell r="C91" t="str">
            <v>UGALDE ARRATIA DAMARIZ SKARLETTE</v>
          </cell>
          <cell r="D91" t="str">
            <v>Operador Planta AS</v>
          </cell>
          <cell r="E91" t="str">
            <v>Oper. 7X7 12 Hrs TAB G02</v>
          </cell>
          <cell r="F91" t="str">
            <v>Femenino</v>
          </cell>
          <cell r="G91" t="str">
            <v>DUGAL002@CODELCO.CL</v>
          </cell>
          <cell r="H91">
            <v>34</v>
          </cell>
          <cell r="I91">
            <v>44837</v>
          </cell>
          <cell r="J91">
            <v>44837</v>
          </cell>
          <cell r="K91" t="str">
            <v>10</v>
          </cell>
          <cell r="L91">
            <v>44896</v>
          </cell>
          <cell r="M91">
            <v>44837</v>
          </cell>
          <cell r="N91">
            <v>44837</v>
          </cell>
          <cell r="O91">
            <v>44837</v>
          </cell>
          <cell r="P91">
            <v>55647</v>
          </cell>
          <cell r="Q91">
            <v>44837</v>
          </cell>
          <cell r="R91">
            <v>4</v>
          </cell>
          <cell r="S91">
            <v>44896</v>
          </cell>
          <cell r="T91" t="str">
            <v>AGUILERA PÉREZ JOSÉ ALFREDO</v>
          </cell>
          <cell r="U91" t="str">
            <v>JAGUI067@CODELCO.CL</v>
          </cell>
          <cell r="V91" t="str">
            <v>Gerencia de Operaciones</v>
          </cell>
          <cell r="W91" t="str">
            <v>Sptcia. Operacion Area Seca</v>
          </cell>
          <cell r="X91" t="str">
            <v>Sptcia. Operacion Area Seca</v>
          </cell>
          <cell r="Y91" t="str">
            <v>Operativo</v>
          </cell>
          <cell r="Z91" t="str">
            <v>Indefinido</v>
          </cell>
        </row>
        <row r="92">
          <cell r="A92" t="str">
            <v>302707</v>
          </cell>
          <cell r="B92" t="str">
            <v>138704327</v>
          </cell>
          <cell r="C92" t="str">
            <v>MARIN SANTIBAÑEZ HORACIO JAVIER</v>
          </cell>
          <cell r="D92" t="str">
            <v>Ing. Planificación Mantenimiento</v>
          </cell>
          <cell r="E92" t="str">
            <v>Prof. 4X3 12 hrs</v>
          </cell>
          <cell r="F92" t="str">
            <v>Masculino</v>
          </cell>
          <cell r="G92" t="str">
            <v>HMARI008@CODELCO.CL</v>
          </cell>
          <cell r="H92">
            <v>46</v>
          </cell>
          <cell r="I92">
            <v>44835</v>
          </cell>
          <cell r="J92">
            <v>44835</v>
          </cell>
          <cell r="K92" t="str">
            <v>8</v>
          </cell>
          <cell r="L92">
            <v>45597</v>
          </cell>
          <cell r="M92">
            <v>44835</v>
          </cell>
          <cell r="N92">
            <v>44835</v>
          </cell>
          <cell r="O92">
            <v>44835</v>
          </cell>
          <cell r="P92">
            <v>53178</v>
          </cell>
          <cell r="Q92">
            <v>44835</v>
          </cell>
          <cell r="R92">
            <v>4</v>
          </cell>
          <cell r="S92">
            <v>44835</v>
          </cell>
          <cell r="T92" t="str">
            <v>GALLEGOS DURAN RODRIGO BERNARDO</v>
          </cell>
          <cell r="U92" t="str">
            <v>RGALL047@CODELCO.CL</v>
          </cell>
          <cell r="V92" t="str">
            <v>Gerencia de Mantenimiento</v>
          </cell>
          <cell r="W92" t="str">
            <v>Sptcia. Planificacion Mantenimiento</v>
          </cell>
          <cell r="X92" t="str">
            <v>Sptcia. Planificacion Mantenimiento</v>
          </cell>
          <cell r="Y92" t="str">
            <v>Profesional</v>
          </cell>
          <cell r="Z92" t="str">
            <v>Indefinido</v>
          </cell>
        </row>
        <row r="93">
          <cell r="A93" t="str">
            <v>302719</v>
          </cell>
          <cell r="B93" t="str">
            <v>93378512</v>
          </cell>
          <cell r="C93" t="str">
            <v>ORQUERA VARGAS DANNY CHRISTIAN</v>
          </cell>
          <cell r="D93" t="str">
            <v>Director de Abastecimiento</v>
          </cell>
          <cell r="E93" t="str">
            <v>Prof. 4X3 12 hrs</v>
          </cell>
          <cell r="F93" t="str">
            <v>Masculino</v>
          </cell>
          <cell r="G93" t="str">
            <v>DORQU001@CODELCO.CL</v>
          </cell>
          <cell r="H93">
            <v>63</v>
          </cell>
          <cell r="I93">
            <v>45446</v>
          </cell>
          <cell r="J93">
            <v>44835</v>
          </cell>
          <cell r="K93" t="str">
            <v>4</v>
          </cell>
          <cell r="L93">
            <v>45446</v>
          </cell>
          <cell r="M93">
            <v>45446</v>
          </cell>
          <cell r="N93">
            <v>44835</v>
          </cell>
          <cell r="O93">
            <v>45446</v>
          </cell>
          <cell r="P93">
            <v>46767</v>
          </cell>
          <cell r="Q93">
            <v>45446</v>
          </cell>
          <cell r="R93">
            <v>2</v>
          </cell>
          <cell r="S93">
            <v>45446</v>
          </cell>
          <cell r="T93" t="str">
            <v>BURGOS ARRATIA FRANCISCO EDUARDO</v>
          </cell>
          <cell r="U93" t="str">
            <v>FBURGOS@CODELCO.CL</v>
          </cell>
          <cell r="V93" t="str">
            <v>Gerencia de Administración</v>
          </cell>
          <cell r="W93" t="str">
            <v>Direccion de Abastecimientos</v>
          </cell>
          <cell r="X93" t="str">
            <v>Direccion de Abastecimientos</v>
          </cell>
          <cell r="Y93" t="str">
            <v>Profesional</v>
          </cell>
          <cell r="Z93" t="str">
            <v>Indefinido</v>
          </cell>
        </row>
        <row r="94">
          <cell r="A94" t="str">
            <v>302723</v>
          </cell>
          <cell r="B94" t="str">
            <v>159721760</v>
          </cell>
          <cell r="C94" t="str">
            <v>TORREBLANCA PEREZ NATHALIE ELIZABETH</v>
          </cell>
          <cell r="D94" t="str">
            <v>Profesional Salud Ocupacional</v>
          </cell>
          <cell r="E94" t="str">
            <v>Prof. 4X3 12 hrs</v>
          </cell>
          <cell r="F94" t="str">
            <v>Femenino</v>
          </cell>
          <cell r="G94" t="str">
            <v>NTORREBL@CODELCO.CL</v>
          </cell>
          <cell r="H94">
            <v>41</v>
          </cell>
          <cell r="I94">
            <v>44851</v>
          </cell>
          <cell r="J94">
            <v>45139</v>
          </cell>
          <cell r="K94" t="str">
            <v>8</v>
          </cell>
          <cell r="L94">
            <v>44851</v>
          </cell>
          <cell r="M94">
            <v>44851</v>
          </cell>
          <cell r="N94">
            <v>44851</v>
          </cell>
          <cell r="O94">
            <v>44851</v>
          </cell>
          <cell r="P94">
            <v>53020</v>
          </cell>
          <cell r="Q94">
            <v>44851</v>
          </cell>
          <cell r="R94">
            <v>3</v>
          </cell>
          <cell r="S94">
            <v>44851</v>
          </cell>
          <cell r="T94" t="str">
            <v>GOMEZ ROJAS ISABEL MARGARITA</v>
          </cell>
          <cell r="U94" t="str">
            <v>IGOME001@CODELCO.CL</v>
          </cell>
          <cell r="V94" t="str">
            <v>Gerencia de Seguridad y Salud Ocup.</v>
          </cell>
          <cell r="W94" t="str">
            <v>Dirección Salud Ocupacional</v>
          </cell>
          <cell r="X94" t="str">
            <v>Dirección Salud Ocupacional</v>
          </cell>
          <cell r="Y94" t="str">
            <v>Profesional</v>
          </cell>
          <cell r="Z94" t="str">
            <v>Indefinido</v>
          </cell>
        </row>
        <row r="95">
          <cell r="A95" t="str">
            <v>302755</v>
          </cell>
          <cell r="B95" t="str">
            <v>181832347</v>
          </cell>
          <cell r="C95" t="str">
            <v>BAUTISTA CRUZ NICOLE MACARENA</v>
          </cell>
          <cell r="D95" t="str">
            <v>Operador Mina</v>
          </cell>
          <cell r="E95" t="str">
            <v>Oper. 7X7 12 Hrs TAB G03</v>
          </cell>
          <cell r="F95" t="str">
            <v>Femenino</v>
          </cell>
          <cell r="G95" t="str">
            <v>NBAUT002@CODELCO.CL</v>
          </cell>
          <cell r="H95">
            <v>33</v>
          </cell>
          <cell r="I95">
            <v>45642</v>
          </cell>
          <cell r="J95">
            <v>45642</v>
          </cell>
          <cell r="K95" t="str">
            <v>#</v>
          </cell>
          <cell r="L95">
            <v>45642</v>
          </cell>
          <cell r="M95">
            <v>45642</v>
          </cell>
          <cell r="N95">
            <v>45642</v>
          </cell>
          <cell r="O95">
            <v>45642</v>
          </cell>
          <cell r="P95">
            <v>55724</v>
          </cell>
          <cell r="Q95">
            <v>44867</v>
          </cell>
          <cell r="R95">
            <v>2</v>
          </cell>
          <cell r="S95">
            <v>45642</v>
          </cell>
          <cell r="T95" t="str">
            <v>Sin asignar</v>
          </cell>
          <cell r="U95" t="str">
            <v>Sin asignar</v>
          </cell>
          <cell r="V95" t="str">
            <v>Gerencia de Operaciones</v>
          </cell>
          <cell r="W95" t="str">
            <v>Sptcia. Operacion Mina</v>
          </cell>
          <cell r="X95" t="str">
            <v>Sptcia. Operacion Mina</v>
          </cell>
          <cell r="Y95" t="str">
            <v>Operativo</v>
          </cell>
          <cell r="Z95" t="str">
            <v>Indefinido</v>
          </cell>
        </row>
        <row r="96">
          <cell r="A96" t="str">
            <v>302772</v>
          </cell>
          <cell r="B96" t="str">
            <v>017438066K</v>
          </cell>
          <cell r="C96" t="str">
            <v>ROBLEDO MONROY JAQUELINE BEZSABETT</v>
          </cell>
          <cell r="D96" t="str">
            <v>Operador Mina</v>
          </cell>
          <cell r="E96" t="str">
            <v>Oper. 7X7 12 Hrs TAB G04</v>
          </cell>
          <cell r="F96" t="str">
            <v>Femenino</v>
          </cell>
          <cell r="G96" t="str">
            <v>JROBL018@CODELCO.CL</v>
          </cell>
          <cell r="H96">
            <v>35</v>
          </cell>
          <cell r="I96">
            <v>44851</v>
          </cell>
          <cell r="J96">
            <v>45170</v>
          </cell>
          <cell r="K96" t="str">
            <v>10</v>
          </cell>
          <cell r="L96">
            <v>44851</v>
          </cell>
          <cell r="M96">
            <v>44851</v>
          </cell>
          <cell r="N96">
            <v>45170</v>
          </cell>
          <cell r="O96">
            <v>44851</v>
          </cell>
          <cell r="P96">
            <v>54906</v>
          </cell>
          <cell r="Q96">
            <v>44851</v>
          </cell>
          <cell r="R96">
            <v>3</v>
          </cell>
          <cell r="S96">
            <v>44851</v>
          </cell>
          <cell r="T96" t="str">
            <v>Sin asignar</v>
          </cell>
          <cell r="U96" t="str">
            <v>Sin asignar</v>
          </cell>
          <cell r="V96" t="str">
            <v>Gerencia de Operaciones</v>
          </cell>
          <cell r="W96" t="str">
            <v>Sptcia. Operacion Mina</v>
          </cell>
          <cell r="X96" t="str">
            <v>Sptcia. Operacion Mina</v>
          </cell>
          <cell r="Y96" t="str">
            <v>Operativo</v>
          </cell>
          <cell r="Z96" t="str">
            <v>Indefinido</v>
          </cell>
        </row>
        <row r="97">
          <cell r="A97" t="str">
            <v>302796</v>
          </cell>
          <cell r="B97" t="str">
            <v>018400125K</v>
          </cell>
          <cell r="C97" t="str">
            <v>BUGUEÑO MORALES MILKA NICOLE</v>
          </cell>
          <cell r="D97" t="str">
            <v>Operador Mina</v>
          </cell>
          <cell r="E97" t="str">
            <v>Oper. 7X7 12 Hrs TAB G03</v>
          </cell>
          <cell r="F97" t="str">
            <v>Femenino</v>
          </cell>
          <cell r="G97" t="str">
            <v>MBUGU020@CODELCO.CL</v>
          </cell>
          <cell r="H97">
            <v>33</v>
          </cell>
          <cell r="I97">
            <v>44851</v>
          </cell>
          <cell r="J97">
            <v>45170</v>
          </cell>
          <cell r="K97" t="str">
            <v>10</v>
          </cell>
          <cell r="L97">
            <v>45170</v>
          </cell>
          <cell r="M97">
            <v>44851</v>
          </cell>
          <cell r="N97">
            <v>45170</v>
          </cell>
          <cell r="O97">
            <v>44851</v>
          </cell>
          <cell r="P97">
            <v>55760</v>
          </cell>
          <cell r="Q97">
            <v>44851</v>
          </cell>
          <cell r="R97">
            <v>3</v>
          </cell>
          <cell r="S97">
            <v>44851</v>
          </cell>
          <cell r="T97" t="str">
            <v>ZUMELZU BRAVO MARYLIN</v>
          </cell>
          <cell r="U97" t="str">
            <v>MZUME001@CODELCO.CL</v>
          </cell>
          <cell r="V97" t="str">
            <v>Gerencia de Operaciones</v>
          </cell>
          <cell r="W97" t="str">
            <v>Sptcia. Operacion Mina</v>
          </cell>
          <cell r="X97" t="str">
            <v>Sptcia. Operacion Mina</v>
          </cell>
          <cell r="Y97" t="str">
            <v>Operativo</v>
          </cell>
          <cell r="Z97" t="str">
            <v>Indefinido</v>
          </cell>
        </row>
        <row r="98">
          <cell r="A98" t="str">
            <v>302932</v>
          </cell>
          <cell r="B98" t="str">
            <v>198668818</v>
          </cell>
          <cell r="C98" t="str">
            <v>AYAVIRE PANIRE KARLA VANIA</v>
          </cell>
          <cell r="D98" t="str">
            <v>Operador Mina</v>
          </cell>
          <cell r="E98" t="str">
            <v>Oper. 7X7 12 Hrs TAB G03</v>
          </cell>
          <cell r="F98" t="str">
            <v>Femenino</v>
          </cell>
          <cell r="G98" t="str">
            <v>KAYAV001@CODELCO.CL</v>
          </cell>
          <cell r="H98">
            <v>29</v>
          </cell>
          <cell r="I98">
            <v>44879</v>
          </cell>
          <cell r="J98">
            <v>45261</v>
          </cell>
          <cell r="K98" t="str">
            <v>#</v>
          </cell>
          <cell r="L98">
            <v>45261</v>
          </cell>
          <cell r="M98">
            <v>44879</v>
          </cell>
          <cell r="N98">
            <v>45261</v>
          </cell>
          <cell r="O98">
            <v>45261</v>
          </cell>
          <cell r="P98">
            <v>57629</v>
          </cell>
          <cell r="Q98">
            <v>44879</v>
          </cell>
          <cell r="R98">
            <v>4</v>
          </cell>
          <cell r="S98">
            <v>44879</v>
          </cell>
          <cell r="T98" t="str">
            <v>ZUMELZU BRAVO MARYLIN</v>
          </cell>
          <cell r="U98" t="str">
            <v>MZUME001@CODELCO.CL</v>
          </cell>
          <cell r="V98" t="str">
            <v>Gerencia de Operaciones</v>
          </cell>
          <cell r="W98" t="str">
            <v>Sptcia. Operacion Mina</v>
          </cell>
          <cell r="X98" t="str">
            <v>Sptcia. Operacion Mina</v>
          </cell>
          <cell r="Y98" t="str">
            <v>Operativo</v>
          </cell>
          <cell r="Z98" t="str">
            <v>Indefinido</v>
          </cell>
        </row>
        <row r="99">
          <cell r="A99" t="str">
            <v>302960</v>
          </cell>
          <cell r="B99" t="str">
            <v>192526043</v>
          </cell>
          <cell r="C99" t="str">
            <v>CRUZ CHOQUE ANDREA FABIOLA</v>
          </cell>
          <cell r="D99" t="str">
            <v>Operador Planta AH</v>
          </cell>
          <cell r="E99" t="str">
            <v>Oper. 7X7 12 Hrs TAB G02</v>
          </cell>
          <cell r="F99" t="str">
            <v>Femenino</v>
          </cell>
          <cell r="G99" t="str">
            <v>ACRUZ021@CODELCO.CL</v>
          </cell>
          <cell r="H99">
            <v>33</v>
          </cell>
          <cell r="I99">
            <v>44900</v>
          </cell>
          <cell r="J99">
            <v>44900</v>
          </cell>
          <cell r="K99" t="str">
            <v>10</v>
          </cell>
          <cell r="L99">
            <v>44900</v>
          </cell>
          <cell r="M99">
            <v>44900</v>
          </cell>
          <cell r="N99">
            <v>44900</v>
          </cell>
          <cell r="O99">
            <v>44900</v>
          </cell>
          <cell r="P99">
            <v>55966</v>
          </cell>
          <cell r="Q99">
            <v>44900</v>
          </cell>
          <cell r="R99">
            <v>4</v>
          </cell>
          <cell r="S99">
            <v>44900</v>
          </cell>
          <cell r="T99" t="str">
            <v>CORREA MENDOZA CAMILA</v>
          </cell>
          <cell r="U99" t="str">
            <v>CCORR014@CODELCO.CL</v>
          </cell>
          <cell r="V99" t="str">
            <v>Gerencia de Operaciones</v>
          </cell>
          <cell r="W99" t="str">
            <v>Sptcia. Operacion Area Hum.</v>
          </cell>
          <cell r="X99" t="str">
            <v>Sx Ew y Patio de Embarque</v>
          </cell>
          <cell r="Y99" t="str">
            <v>Operativo</v>
          </cell>
          <cell r="Z99" t="str">
            <v>Indefinido</v>
          </cell>
        </row>
        <row r="100">
          <cell r="A100" t="str">
            <v>302961</v>
          </cell>
          <cell r="B100" t="str">
            <v>175745157</v>
          </cell>
          <cell r="C100" t="str">
            <v>JEREZ MUÑOZ CLAUDIA</v>
          </cell>
          <cell r="D100" t="str">
            <v>Ingeniero Confiabilidad</v>
          </cell>
          <cell r="E100" t="str">
            <v>Prof. 4X3 12 hrs</v>
          </cell>
          <cell r="F100" t="str">
            <v>Femenino</v>
          </cell>
          <cell r="G100" t="str">
            <v>CJERE006@CODELCO.CL</v>
          </cell>
          <cell r="H100">
            <v>35</v>
          </cell>
          <cell r="I100">
            <v>44900</v>
          </cell>
          <cell r="J100">
            <v>44900</v>
          </cell>
          <cell r="K100" t="str">
            <v>#</v>
          </cell>
          <cell r="L100">
            <v>45323</v>
          </cell>
          <cell r="M100">
            <v>44900</v>
          </cell>
          <cell r="N100">
            <v>44900</v>
          </cell>
          <cell r="O100">
            <v>44900</v>
          </cell>
          <cell r="P100">
            <v>55144</v>
          </cell>
          <cell r="Q100">
            <v>44900</v>
          </cell>
          <cell r="R100">
            <v>4</v>
          </cell>
          <cell r="S100">
            <v>44900</v>
          </cell>
          <cell r="T100" t="str">
            <v>HEMMELMANN FUENTES NATHALIE</v>
          </cell>
          <cell r="U100" t="str">
            <v>NHEMM001@CODELCO.CL</v>
          </cell>
          <cell r="V100" t="str">
            <v>Gerencia de Mantenimiento</v>
          </cell>
          <cell r="W100" t="str">
            <v>Superintendencia de Confiabilidad</v>
          </cell>
          <cell r="X100" t="str">
            <v>Superintendencia de Confiabilidad</v>
          </cell>
          <cell r="Y100" t="str">
            <v>Profesional</v>
          </cell>
          <cell r="Z100" t="str">
            <v>Indefinido</v>
          </cell>
        </row>
        <row r="101">
          <cell r="A101" t="str">
            <v>302963</v>
          </cell>
          <cell r="B101" t="str">
            <v>198259713</v>
          </cell>
          <cell r="C101" t="str">
            <v>VIDAL GUTIERREZ FRANCISCA BELEN</v>
          </cell>
          <cell r="D101" t="str">
            <v>Operador Planta AH</v>
          </cell>
          <cell r="E101" t="str">
            <v>Oper. 7X7 12 Hrs TAB G03</v>
          </cell>
          <cell r="F101" t="str">
            <v>Femenino</v>
          </cell>
          <cell r="G101" t="str">
            <v>FVIDA012@CODELCO.CL</v>
          </cell>
          <cell r="H101">
            <v>27</v>
          </cell>
          <cell r="I101">
            <v>44900</v>
          </cell>
          <cell r="J101">
            <v>44900</v>
          </cell>
          <cell r="K101" t="str">
            <v>10</v>
          </cell>
          <cell r="L101">
            <v>44900</v>
          </cell>
          <cell r="M101">
            <v>44900</v>
          </cell>
          <cell r="N101">
            <v>44900</v>
          </cell>
          <cell r="O101">
            <v>44900</v>
          </cell>
          <cell r="P101">
            <v>57920</v>
          </cell>
          <cell r="Q101">
            <v>44900</v>
          </cell>
          <cell r="R101">
            <v>4</v>
          </cell>
          <cell r="S101">
            <v>44900</v>
          </cell>
          <cell r="T101" t="str">
            <v>NAVARRO CARVAJAL JUAN FRANCISCO</v>
          </cell>
          <cell r="U101" t="str">
            <v>JNAVA020@CODELCO.CL</v>
          </cell>
          <cell r="V101" t="str">
            <v>Gerencia de Operaciones</v>
          </cell>
          <cell r="W101" t="str">
            <v>Sptcia. Operacion Area Hum.</v>
          </cell>
          <cell r="X101" t="str">
            <v>Sx Ew y Patio de Embarque</v>
          </cell>
          <cell r="Y101" t="str">
            <v>Operativo</v>
          </cell>
          <cell r="Z101" t="str">
            <v>Indefinido</v>
          </cell>
        </row>
        <row r="102">
          <cell r="A102" t="str">
            <v>302968</v>
          </cell>
          <cell r="B102" t="str">
            <v>142545055</v>
          </cell>
          <cell r="C102" t="str">
            <v>LIZANA IBACETA FRANCIA</v>
          </cell>
          <cell r="D102" t="str">
            <v>Ing. Especialista Relaciones Laborales</v>
          </cell>
          <cell r="E102" t="str">
            <v>Prof. 4X3 12 hrs</v>
          </cell>
          <cell r="F102" t="str">
            <v>Femenino</v>
          </cell>
          <cell r="G102" t="str">
            <v>FLIZA005@CODELCO.CL</v>
          </cell>
          <cell r="H102">
            <v>52</v>
          </cell>
          <cell r="I102">
            <v>44900</v>
          </cell>
          <cell r="J102">
            <v>44900</v>
          </cell>
          <cell r="K102" t="str">
            <v>8</v>
          </cell>
          <cell r="L102">
            <v>44900</v>
          </cell>
          <cell r="M102">
            <v>44900</v>
          </cell>
          <cell r="N102">
            <v>44900</v>
          </cell>
          <cell r="O102">
            <v>44900</v>
          </cell>
          <cell r="P102">
            <v>48955</v>
          </cell>
          <cell r="Q102">
            <v>44900</v>
          </cell>
          <cell r="R102">
            <v>4</v>
          </cell>
          <cell r="S102">
            <v>44900</v>
          </cell>
          <cell r="T102" t="str">
            <v>VALDES MOYANO RODOLFO SALVADOR</v>
          </cell>
          <cell r="U102" t="str">
            <v>RVALES@CODELCO.CL</v>
          </cell>
          <cell r="V102" t="str">
            <v>Gerencia de Gestión de Personas</v>
          </cell>
          <cell r="W102" t="str">
            <v>Direccion de RRLL y Adm. de Personas</v>
          </cell>
          <cell r="X102" t="str">
            <v>Direccion de RRLL y Adm. de Personas</v>
          </cell>
          <cell r="Y102" t="str">
            <v>Profesional</v>
          </cell>
          <cell r="Z102" t="str">
            <v>Indefinido</v>
          </cell>
        </row>
        <row r="103">
          <cell r="A103" t="str">
            <v>302970</v>
          </cell>
          <cell r="B103" t="str">
            <v>192927633</v>
          </cell>
          <cell r="C103" t="str">
            <v>GALLARDO MORALES JAVIERA VICTORIA</v>
          </cell>
          <cell r="D103" t="str">
            <v>Ingeniera de Despacho Mina</v>
          </cell>
          <cell r="E103" t="str">
            <v>Oper. 7X7 12 Hrs TAB G04</v>
          </cell>
          <cell r="F103" t="str">
            <v>Femenino</v>
          </cell>
          <cell r="G103" t="str">
            <v>JGALL086@CODELCO.CL</v>
          </cell>
          <cell r="H103">
            <v>30</v>
          </cell>
          <cell r="I103">
            <v>44900</v>
          </cell>
          <cell r="J103">
            <v>45261</v>
          </cell>
          <cell r="K103" t="str">
            <v>#</v>
          </cell>
          <cell r="L103">
            <v>45261</v>
          </cell>
          <cell r="M103">
            <v>44900</v>
          </cell>
          <cell r="N103">
            <v>45261</v>
          </cell>
          <cell r="O103">
            <v>45261</v>
          </cell>
          <cell r="P103">
            <v>56972</v>
          </cell>
          <cell r="Q103">
            <v>45261</v>
          </cell>
          <cell r="R103">
            <v>4</v>
          </cell>
          <cell r="S103">
            <v>45261</v>
          </cell>
          <cell r="T103" t="str">
            <v>VELIZ LOPEZ ERIC FELIPE PATRICIO</v>
          </cell>
          <cell r="U103" t="str">
            <v>EVELI007@CODELCO.CL</v>
          </cell>
          <cell r="V103" t="str">
            <v>Gerencia de Operaciones</v>
          </cell>
          <cell r="W103" t="str">
            <v>Sptcia. Ingenieria y Gestion Mina</v>
          </cell>
          <cell r="X103" t="str">
            <v>Sptcia. Ingenieria y Gestion Mina</v>
          </cell>
          <cell r="Y103" t="str">
            <v>Profesional</v>
          </cell>
          <cell r="Z103" t="str">
            <v>Indefinido</v>
          </cell>
        </row>
        <row r="104">
          <cell r="A104" t="str">
            <v>302972</v>
          </cell>
          <cell r="B104" t="str">
            <v>159820424</v>
          </cell>
          <cell r="C104" t="str">
            <v>HUAYLLANI Ayma LILIA</v>
          </cell>
          <cell r="D104" t="str">
            <v>Operador Planta AS</v>
          </cell>
          <cell r="E104" t="str">
            <v>Oper. 7X7 12 Hrs TAB G02</v>
          </cell>
          <cell r="F104" t="str">
            <v>Femenino</v>
          </cell>
          <cell r="G104" t="str">
            <v>LHUAY001@CODELCO.CL</v>
          </cell>
          <cell r="H104">
            <v>41</v>
          </cell>
          <cell r="I104">
            <v>45962</v>
          </cell>
          <cell r="J104">
            <v>45962</v>
          </cell>
          <cell r="K104" t="str">
            <v>10</v>
          </cell>
          <cell r="L104">
            <v>45962</v>
          </cell>
          <cell r="M104">
            <v>45962</v>
          </cell>
          <cell r="N104">
            <v>45962</v>
          </cell>
          <cell r="O104">
            <v>45642</v>
          </cell>
          <cell r="P104">
            <v>45962</v>
          </cell>
          <cell r="Q104">
            <v>45962</v>
          </cell>
          <cell r="R104">
            <v>1</v>
          </cell>
          <cell r="S104">
            <v>45962</v>
          </cell>
          <cell r="T104" t="str">
            <v>ARAYA JAIME VALESKA</v>
          </cell>
          <cell r="U104" t="str">
            <v>VARAY013@CODELCO.CL</v>
          </cell>
          <cell r="V104" t="str">
            <v>Gerencia de Operaciones</v>
          </cell>
          <cell r="W104" t="str">
            <v>Sptcia. Operacion Area Seca</v>
          </cell>
          <cell r="X104" t="str">
            <v>Sptcia. Operacion Area Seca</v>
          </cell>
          <cell r="Y104" t="str">
            <v>Operativo</v>
          </cell>
          <cell r="Z104" t="str">
            <v>Indefinido</v>
          </cell>
        </row>
        <row r="105">
          <cell r="A105" t="str">
            <v>302974</v>
          </cell>
          <cell r="B105" t="str">
            <v>192154723</v>
          </cell>
          <cell r="C105" t="str">
            <v>CASTRO ROBLES LEYLA IBIS</v>
          </cell>
          <cell r="D105" t="str">
            <v>Operador Planta AS</v>
          </cell>
          <cell r="E105" t="str">
            <v>Oper. 7X7 12 Hrs TAB G04</v>
          </cell>
          <cell r="F105" t="str">
            <v>Femenino</v>
          </cell>
          <cell r="G105" t="str">
            <v>LCAST073@CODELCO.CL</v>
          </cell>
          <cell r="H105">
            <v>29</v>
          </cell>
          <cell r="I105">
            <v>44900</v>
          </cell>
          <cell r="J105">
            <v>45047</v>
          </cell>
          <cell r="K105" t="str">
            <v>10</v>
          </cell>
          <cell r="L105">
            <v>45047</v>
          </cell>
          <cell r="M105">
            <v>44900</v>
          </cell>
          <cell r="N105">
            <v>45047</v>
          </cell>
          <cell r="O105">
            <v>44900</v>
          </cell>
          <cell r="P105">
            <v>57151</v>
          </cell>
          <cell r="Q105">
            <v>44900</v>
          </cell>
          <cell r="R105">
            <v>4</v>
          </cell>
          <cell r="S105">
            <v>44900</v>
          </cell>
          <cell r="T105" t="str">
            <v>VASQUEZ LOPEZ ARTURO RICARDO</v>
          </cell>
          <cell r="U105" t="str">
            <v>AVASQ018@CODELCO.CL</v>
          </cell>
          <cell r="V105" t="str">
            <v>Gerencia de Operaciones</v>
          </cell>
          <cell r="W105" t="str">
            <v>Sptcia. Operacion Area Seca</v>
          </cell>
          <cell r="X105" t="str">
            <v>Sptcia. Operacion Area Seca</v>
          </cell>
          <cell r="Y105" t="str">
            <v>Operativo</v>
          </cell>
          <cell r="Z105" t="str">
            <v>Indefinido</v>
          </cell>
        </row>
        <row r="106">
          <cell r="A106" t="str">
            <v>303028</v>
          </cell>
          <cell r="B106" t="str">
            <v>179662027</v>
          </cell>
          <cell r="C106" t="str">
            <v>BOZO Vargas CAROLINA ALEXANDRA</v>
          </cell>
          <cell r="D106" t="str">
            <v>Operador Mina</v>
          </cell>
          <cell r="E106" t="str">
            <v>Oper. 7X7 12 Hrs TAB A05</v>
          </cell>
          <cell r="F106" t="str">
            <v>Femenino</v>
          </cell>
          <cell r="G106" t="str">
            <v>CBOZO001@CODELCO.CL</v>
          </cell>
          <cell r="H106">
            <v>35</v>
          </cell>
          <cell r="I106">
            <v>45782</v>
          </cell>
          <cell r="J106">
            <v>45782</v>
          </cell>
          <cell r="K106" t="str">
            <v>#</v>
          </cell>
          <cell r="L106">
            <v>45782</v>
          </cell>
          <cell r="M106">
            <v>45782</v>
          </cell>
          <cell r="N106">
            <v>45782</v>
          </cell>
          <cell r="O106">
            <v>45782</v>
          </cell>
          <cell r="P106">
            <v>55171</v>
          </cell>
          <cell r="Q106">
            <v>44921</v>
          </cell>
          <cell r="R106">
            <v>1</v>
          </cell>
          <cell r="S106">
            <v>45782</v>
          </cell>
          <cell r="T106" t="str">
            <v>ORTEGA ORTUYA CARLOS</v>
          </cell>
          <cell r="U106" t="str">
            <v>CORTE009@CODELCO.CL</v>
          </cell>
          <cell r="V106" t="str">
            <v>Gerencia de Operaciones</v>
          </cell>
          <cell r="W106" t="str">
            <v>Sptcia. Operacion Mina</v>
          </cell>
          <cell r="X106" t="str">
            <v>Sptcia. Operacion Mina</v>
          </cell>
          <cell r="Y106" t="str">
            <v>Operativo</v>
          </cell>
          <cell r="Z106" t="str">
            <v>Temporal</v>
          </cell>
        </row>
        <row r="107">
          <cell r="A107" t="str">
            <v>303252</v>
          </cell>
          <cell r="B107" t="str">
            <v>019866961K</v>
          </cell>
          <cell r="C107" t="str">
            <v>MAMANI MARIN CAMILA</v>
          </cell>
          <cell r="D107" t="str">
            <v>Operador Mina</v>
          </cell>
          <cell r="E107" t="str">
            <v>Oper. 7X7 12 Hrs TAB G02</v>
          </cell>
          <cell r="F107" t="str">
            <v>Femenino</v>
          </cell>
          <cell r="G107" t="str">
            <v>CMAMA009@CODELCO.CL</v>
          </cell>
          <cell r="H107">
            <v>27</v>
          </cell>
          <cell r="I107">
            <v>45748</v>
          </cell>
          <cell r="J107">
            <v>45748</v>
          </cell>
          <cell r="K107" t="str">
            <v>10</v>
          </cell>
          <cell r="L107">
            <v>45355</v>
          </cell>
          <cell r="M107">
            <v>45748</v>
          </cell>
          <cell r="N107">
            <v>45748</v>
          </cell>
          <cell r="O107">
            <v>45355</v>
          </cell>
          <cell r="P107">
            <v>57848</v>
          </cell>
          <cell r="Q107">
            <v>44942</v>
          </cell>
          <cell r="R107">
            <v>1</v>
          </cell>
          <cell r="S107">
            <v>45748</v>
          </cell>
          <cell r="T107" t="str">
            <v>ORTEGA ORTUYA CARLOS</v>
          </cell>
          <cell r="U107" t="str">
            <v>CORTE009@CODELCO.CL</v>
          </cell>
          <cell r="V107" t="str">
            <v>Gerencia de Operaciones</v>
          </cell>
          <cell r="W107" t="str">
            <v>Sptcia. Operacion Mina</v>
          </cell>
          <cell r="X107" t="str">
            <v>Sptcia. Operacion Mina</v>
          </cell>
          <cell r="Y107" t="str">
            <v>Operativo</v>
          </cell>
          <cell r="Z107" t="str">
            <v>Indefinido</v>
          </cell>
        </row>
        <row r="108">
          <cell r="A108" t="str">
            <v>303253</v>
          </cell>
          <cell r="B108" t="str">
            <v>023737472K</v>
          </cell>
          <cell r="C108" t="str">
            <v>GONZALEZ SALAZAR DAIRA</v>
          </cell>
          <cell r="D108" t="str">
            <v>Operador Mina</v>
          </cell>
          <cell r="E108" t="str">
            <v>Oper. 7X7 12 Hrs TAB G04</v>
          </cell>
          <cell r="F108" t="str">
            <v>Femenino</v>
          </cell>
          <cell r="G108" t="str">
            <v>DGONZ086@CODELCO.CL</v>
          </cell>
          <cell r="H108">
            <v>30</v>
          </cell>
          <cell r="I108">
            <v>44942</v>
          </cell>
          <cell r="J108">
            <v>45261</v>
          </cell>
          <cell r="K108" t="str">
            <v>#</v>
          </cell>
          <cell r="L108">
            <v>45261</v>
          </cell>
          <cell r="M108">
            <v>44942</v>
          </cell>
          <cell r="N108">
            <v>45261</v>
          </cell>
          <cell r="O108">
            <v>45261</v>
          </cell>
          <cell r="P108">
            <v>56848</v>
          </cell>
          <cell r="Q108">
            <v>44942</v>
          </cell>
          <cell r="R108">
            <v>3</v>
          </cell>
          <cell r="S108">
            <v>44942</v>
          </cell>
          <cell r="T108" t="str">
            <v>Sin asignar</v>
          </cell>
          <cell r="U108" t="str">
            <v>Sin asignar</v>
          </cell>
          <cell r="V108" t="str">
            <v>Gerencia de Operaciones</v>
          </cell>
          <cell r="W108" t="str">
            <v>Sptcia. Operacion Mina</v>
          </cell>
          <cell r="X108" t="str">
            <v>Sptcia. Operacion Mina</v>
          </cell>
          <cell r="Y108" t="str">
            <v>Operativo</v>
          </cell>
          <cell r="Z108" t="str">
            <v>Indefinido</v>
          </cell>
        </row>
        <row r="109">
          <cell r="A109" t="str">
            <v>303254</v>
          </cell>
          <cell r="B109" t="str">
            <v>187932688</v>
          </cell>
          <cell r="C109" t="str">
            <v>CORDOVA ERAZO DANIELA ELAYNE</v>
          </cell>
          <cell r="D109" t="str">
            <v>Operador Planta AH</v>
          </cell>
          <cell r="E109" t="str">
            <v>Oper. 7X7 12 Hrs TAB G04</v>
          </cell>
          <cell r="F109" t="str">
            <v>Femenino</v>
          </cell>
          <cell r="G109" t="str">
            <v>DCORD004@CODELCO.CL</v>
          </cell>
          <cell r="H109">
            <v>31</v>
          </cell>
          <cell r="I109">
            <v>44942</v>
          </cell>
          <cell r="J109">
            <v>45170</v>
          </cell>
          <cell r="K109" t="str">
            <v>10</v>
          </cell>
          <cell r="L109">
            <v>45170</v>
          </cell>
          <cell r="M109">
            <v>44942</v>
          </cell>
          <cell r="N109">
            <v>45170</v>
          </cell>
          <cell r="O109">
            <v>44942</v>
          </cell>
          <cell r="P109">
            <v>56608</v>
          </cell>
          <cell r="Q109">
            <v>44942</v>
          </cell>
          <cell r="R109">
            <v>3</v>
          </cell>
          <cell r="S109">
            <v>44942</v>
          </cell>
          <cell r="T109" t="str">
            <v>CACERES TRONCOSO EDGARDO ANTONIO</v>
          </cell>
          <cell r="U109" t="str">
            <v>ECACE001@CODELCO.CL</v>
          </cell>
          <cell r="V109" t="str">
            <v>Gerencia de Operaciones</v>
          </cell>
          <cell r="W109" t="str">
            <v>Sptcia. Operacion Area Hum.</v>
          </cell>
          <cell r="X109" t="str">
            <v>Sx Ew y Patio de Embarque</v>
          </cell>
          <cell r="Y109" t="str">
            <v>Operativo</v>
          </cell>
          <cell r="Z109" t="str">
            <v>Indefinido</v>
          </cell>
        </row>
        <row r="110">
          <cell r="A110" t="str">
            <v>303257</v>
          </cell>
          <cell r="B110" t="str">
            <v>184830027</v>
          </cell>
          <cell r="C110" t="str">
            <v>RIVERA TORRES MILENCA</v>
          </cell>
          <cell r="D110" t="str">
            <v>Operador Planta AH</v>
          </cell>
          <cell r="E110" t="str">
            <v>Oper. 7X7 12 Hrs TAB G01</v>
          </cell>
          <cell r="F110" t="str">
            <v>Femenino</v>
          </cell>
          <cell r="G110" t="str">
            <v>MRIVE063@CODELCO.CL</v>
          </cell>
          <cell r="H110">
            <v>33</v>
          </cell>
          <cell r="I110">
            <v>45992</v>
          </cell>
          <cell r="J110">
            <v>45992</v>
          </cell>
          <cell r="K110" t="str">
            <v>10</v>
          </cell>
          <cell r="L110">
            <v>45642</v>
          </cell>
          <cell r="M110">
            <v>45992</v>
          </cell>
          <cell r="N110">
            <v>45992</v>
          </cell>
          <cell r="O110">
            <v>45992</v>
          </cell>
          <cell r="P110">
            <v>56172</v>
          </cell>
          <cell r="Q110">
            <v>45642</v>
          </cell>
          <cell r="R110">
            <v>1</v>
          </cell>
          <cell r="S110">
            <v>45992</v>
          </cell>
          <cell r="T110" t="str">
            <v>CORREA MENDOZA CAMILA</v>
          </cell>
          <cell r="U110" t="str">
            <v>CCORR014@CODELCO.CL</v>
          </cell>
          <cell r="V110" t="str">
            <v>Gerencia de Operaciones</v>
          </cell>
          <cell r="W110" t="str">
            <v>Sptcia. Operacion Area Hum.</v>
          </cell>
          <cell r="X110" t="str">
            <v>Sx Ew y Patio de Embarque</v>
          </cell>
          <cell r="Y110" t="str">
            <v>Operativo</v>
          </cell>
          <cell r="Z110" t="str">
            <v>Indefinido</v>
          </cell>
        </row>
        <row r="111">
          <cell r="A111" t="str">
            <v>303359</v>
          </cell>
          <cell r="B111" t="str">
            <v>179911302</v>
          </cell>
          <cell r="C111" t="str">
            <v>GHISELLINI DUFEU MARIA JOSE</v>
          </cell>
          <cell r="D111" t="str">
            <v>Ingeniero Turno Mtto. Mina</v>
          </cell>
          <cell r="E111" t="str">
            <v>Oper. 7X7 12 Hrs TAB G01</v>
          </cell>
          <cell r="F111" t="str">
            <v>Femenino</v>
          </cell>
          <cell r="G111" t="str">
            <v>MGHIS001@CODELCO.CL</v>
          </cell>
          <cell r="H111">
            <v>34</v>
          </cell>
          <cell r="I111">
            <v>44991</v>
          </cell>
          <cell r="J111">
            <v>44991</v>
          </cell>
          <cell r="K111" t="str">
            <v>8</v>
          </cell>
          <cell r="L111">
            <v>44991</v>
          </cell>
          <cell r="M111">
            <v>44991</v>
          </cell>
          <cell r="N111">
            <v>44991</v>
          </cell>
          <cell r="O111">
            <v>44991</v>
          </cell>
          <cell r="P111">
            <v>55563</v>
          </cell>
          <cell r="Q111">
            <v>44991</v>
          </cell>
          <cell r="R111">
            <v>3</v>
          </cell>
          <cell r="S111">
            <v>44991</v>
          </cell>
          <cell r="T111" t="str">
            <v>RUZ MIRANDA DANIEL ESTEBAN</v>
          </cell>
          <cell r="U111" t="str">
            <v>DRUZ@CODELCO.CL</v>
          </cell>
          <cell r="V111" t="str">
            <v>Gerencia de Mantenimiento</v>
          </cell>
          <cell r="W111" t="str">
            <v>Sptcia. Mtto. Mina</v>
          </cell>
          <cell r="X111" t="str">
            <v>Sptcia. Mtto. Mina</v>
          </cell>
          <cell r="Y111" t="str">
            <v>Profesional</v>
          </cell>
          <cell r="Z111" t="str">
            <v>Indefinido</v>
          </cell>
        </row>
        <row r="112">
          <cell r="A112" t="str">
            <v>303378</v>
          </cell>
          <cell r="B112" t="str">
            <v>128094210</v>
          </cell>
          <cell r="C112" t="str">
            <v>LUENGO BRIONES TERESA PATRICIA</v>
          </cell>
          <cell r="D112" t="str">
            <v>Experto Prev. Riesgos</v>
          </cell>
          <cell r="E112" t="str">
            <v>Oper. 7X7 12 Hrs TAB A06</v>
          </cell>
          <cell r="F112" t="str">
            <v>Femenino</v>
          </cell>
          <cell r="G112" t="str">
            <v>TLUEN001@CODELCO.CL</v>
          </cell>
          <cell r="H112">
            <v>51</v>
          </cell>
          <cell r="I112">
            <v>45019</v>
          </cell>
          <cell r="J112">
            <v>45019</v>
          </cell>
          <cell r="K112" t="str">
            <v>9</v>
          </cell>
          <cell r="L112">
            <v>45597</v>
          </cell>
          <cell r="M112">
            <v>45019</v>
          </cell>
          <cell r="N112">
            <v>45019</v>
          </cell>
          <cell r="O112">
            <v>45019</v>
          </cell>
          <cell r="P112">
            <v>49387</v>
          </cell>
          <cell r="Q112">
            <v>45019</v>
          </cell>
          <cell r="R112">
            <v>3</v>
          </cell>
          <cell r="S112">
            <v>45019</v>
          </cell>
          <cell r="T112" t="str">
            <v>MOLGAS ZEPEDA MARCOS BENJAMIN</v>
          </cell>
          <cell r="U112" t="str">
            <v>MMOLG001@CODELCO.CL</v>
          </cell>
          <cell r="V112" t="str">
            <v>Gerencia de Seguridad y Salud Ocup.</v>
          </cell>
          <cell r="W112" t="str">
            <v>Direccion de Seguridad</v>
          </cell>
          <cell r="X112" t="str">
            <v>Direccion de Seguridad</v>
          </cell>
          <cell r="Y112" t="str">
            <v>Profesional</v>
          </cell>
          <cell r="Z112" t="str">
            <v>Indefinido</v>
          </cell>
        </row>
        <row r="113">
          <cell r="A113" t="str">
            <v>303380</v>
          </cell>
          <cell r="B113" t="str">
            <v>184059037</v>
          </cell>
          <cell r="C113" t="str">
            <v>CASTRO OPAZO BENJAMIN MARIO ALONSO</v>
          </cell>
          <cell r="D113" t="str">
            <v>Ingeniero Turno Mantenimiento A.H.</v>
          </cell>
          <cell r="E113" t="str">
            <v>Oper. 7X7 12 Hrs TAB G02</v>
          </cell>
          <cell r="F113" t="str">
            <v>Masculino</v>
          </cell>
          <cell r="G113" t="str">
            <v>BCAST015@CODELCO.CL</v>
          </cell>
          <cell r="H113">
            <v>33</v>
          </cell>
          <cell r="I113">
            <v>45019</v>
          </cell>
          <cell r="J113">
            <v>45019</v>
          </cell>
          <cell r="K113" t="str">
            <v>#</v>
          </cell>
          <cell r="L113">
            <v>45019</v>
          </cell>
          <cell r="M113">
            <v>45019</v>
          </cell>
          <cell r="N113">
            <v>45019</v>
          </cell>
          <cell r="O113">
            <v>45019</v>
          </cell>
          <cell r="P113">
            <v>57812</v>
          </cell>
          <cell r="Q113">
            <v>45019</v>
          </cell>
          <cell r="R113">
            <v>3</v>
          </cell>
          <cell r="S113">
            <v>45019</v>
          </cell>
          <cell r="T113" t="str">
            <v>Sin asignar</v>
          </cell>
          <cell r="U113" t="str">
            <v>Sin asignar</v>
          </cell>
          <cell r="V113" t="str">
            <v>Gerencia de Mantenimiento</v>
          </cell>
          <cell r="W113" t="str">
            <v>Sptcia. Mtto. Area Seca</v>
          </cell>
          <cell r="X113" t="str">
            <v>Sptcia. Mtto. Area Seca</v>
          </cell>
          <cell r="Y113" t="str">
            <v>Profesional</v>
          </cell>
          <cell r="Z113" t="str">
            <v>Indefinido</v>
          </cell>
        </row>
        <row r="114">
          <cell r="A114" t="str">
            <v>303382</v>
          </cell>
          <cell r="B114" t="str">
            <v>019656411K</v>
          </cell>
          <cell r="C114" t="str">
            <v>BALLOQUI GARTNER MARIA CANDELA</v>
          </cell>
          <cell r="D114" t="str">
            <v>Operador Mina</v>
          </cell>
          <cell r="E114" t="str">
            <v>Oper. 7X7 12 Hrs TAB G01</v>
          </cell>
          <cell r="F114" t="str">
            <v>Femenino</v>
          </cell>
          <cell r="G114" t="str">
            <v>MBALL001@CODELCO.CL</v>
          </cell>
          <cell r="H114">
            <v>30</v>
          </cell>
          <cell r="I114">
            <v>45019</v>
          </cell>
          <cell r="J114">
            <v>45019</v>
          </cell>
          <cell r="K114" t="str">
            <v>10</v>
          </cell>
          <cell r="L114">
            <v>45019</v>
          </cell>
          <cell r="M114">
            <v>45019</v>
          </cell>
          <cell r="N114">
            <v>45019</v>
          </cell>
          <cell r="O114">
            <v>45019</v>
          </cell>
          <cell r="P114">
            <v>57041</v>
          </cell>
          <cell r="Q114">
            <v>45019</v>
          </cell>
          <cell r="R114">
            <v>3</v>
          </cell>
          <cell r="S114">
            <v>45019</v>
          </cell>
          <cell r="T114" t="str">
            <v>ICETA BAEZA ANTONIO</v>
          </cell>
          <cell r="U114" t="str">
            <v>AICETA@CODELCO.CL</v>
          </cell>
          <cell r="V114" t="str">
            <v>Gerencia de Operaciones</v>
          </cell>
          <cell r="W114" t="str">
            <v>Sptcia. Operacion Mina</v>
          </cell>
          <cell r="X114" t="str">
            <v>Sptcia. Operacion Mina</v>
          </cell>
          <cell r="Y114" t="str">
            <v>Operativo</v>
          </cell>
          <cell r="Z114" t="str">
            <v>Indefinido</v>
          </cell>
        </row>
        <row r="115">
          <cell r="A115" t="str">
            <v>303411</v>
          </cell>
          <cell r="B115" t="str">
            <v>132115605</v>
          </cell>
          <cell r="C115" t="str">
            <v>WONG ENCALADA JORGE JOY-SAM</v>
          </cell>
          <cell r="D115" t="str">
            <v>Analista Mant. Signos Vit. Equipos Mina</v>
          </cell>
          <cell r="E115" t="str">
            <v>Oper. 7X7 12 Hrs TAB A06</v>
          </cell>
          <cell r="F115" t="str">
            <v>Masculino</v>
          </cell>
          <cell r="G115" t="str">
            <v>JWONG001@CODELCO.CL</v>
          </cell>
          <cell r="H115">
            <v>49</v>
          </cell>
          <cell r="I115">
            <v>45048</v>
          </cell>
          <cell r="J115">
            <v>45048</v>
          </cell>
          <cell r="K115" t="str">
            <v>9</v>
          </cell>
          <cell r="L115">
            <v>45048</v>
          </cell>
          <cell r="M115">
            <v>45048</v>
          </cell>
          <cell r="N115">
            <v>45048</v>
          </cell>
          <cell r="O115">
            <v>45048</v>
          </cell>
          <cell r="P115">
            <v>51941</v>
          </cell>
          <cell r="Q115">
            <v>45048</v>
          </cell>
          <cell r="R115">
            <v>3</v>
          </cell>
          <cell r="S115">
            <v>45048</v>
          </cell>
          <cell r="T115" t="str">
            <v>HENRIQUEZ RIVAS JOSE MAURICIO</v>
          </cell>
          <cell r="U115" t="str">
            <v>JHENR027@CODELCO.CL</v>
          </cell>
          <cell r="V115" t="str">
            <v>Gerencia de Mantenimiento</v>
          </cell>
          <cell r="W115" t="str">
            <v>Superintendencia de Confiabilidad</v>
          </cell>
          <cell r="X115" t="str">
            <v>Superintendencia de Confiabilidad</v>
          </cell>
          <cell r="Y115" t="str">
            <v>Operativo</v>
          </cell>
          <cell r="Z115" t="str">
            <v>Indefinido</v>
          </cell>
        </row>
        <row r="116">
          <cell r="A116" t="str">
            <v>303424</v>
          </cell>
          <cell r="B116" t="str">
            <v>187581168</v>
          </cell>
          <cell r="C116" t="str">
            <v>CORREA CORTÉS VALENTINA ROCÍO</v>
          </cell>
          <cell r="D116" t="str">
            <v>Ingeniero Suministros</v>
          </cell>
          <cell r="E116" t="str">
            <v>Prof. 4X3 12 hrs</v>
          </cell>
          <cell r="F116" t="str">
            <v>Femenino</v>
          </cell>
          <cell r="G116" t="str">
            <v>VCORR004@CODELCO.CL</v>
          </cell>
          <cell r="H116">
            <v>31</v>
          </cell>
          <cell r="I116">
            <v>45061</v>
          </cell>
          <cell r="J116">
            <v>45061</v>
          </cell>
          <cell r="K116" t="str">
            <v>#</v>
          </cell>
          <cell r="L116">
            <v>45061</v>
          </cell>
          <cell r="M116">
            <v>45061</v>
          </cell>
          <cell r="N116">
            <v>45061</v>
          </cell>
          <cell r="O116">
            <v>45061</v>
          </cell>
          <cell r="P116">
            <v>56453</v>
          </cell>
          <cell r="Q116">
            <v>45061</v>
          </cell>
          <cell r="R116">
            <v>3</v>
          </cell>
          <cell r="S116">
            <v>45061</v>
          </cell>
          <cell r="T116" t="str">
            <v>ONETO GONZALEZ CRISTIAN</v>
          </cell>
          <cell r="U116" t="str">
            <v>CONETO@CODELCO.CL</v>
          </cell>
          <cell r="V116" t="str">
            <v>Gerencia de Administración</v>
          </cell>
          <cell r="W116" t="str">
            <v>Supte. Proyectos, Infra. y Suministros</v>
          </cell>
          <cell r="X116" t="str">
            <v>Supte. Proyectos, Infra. y Suministros</v>
          </cell>
          <cell r="Y116" t="str">
            <v>Profesional</v>
          </cell>
          <cell r="Z116" t="str">
            <v>Indefinido</v>
          </cell>
        </row>
        <row r="117">
          <cell r="A117" t="str">
            <v>303505</v>
          </cell>
          <cell r="B117" t="str">
            <v>015049284K</v>
          </cell>
          <cell r="C117" t="str">
            <v>SILVA PUCA JESUS JACOB</v>
          </cell>
          <cell r="D117" t="str">
            <v>Especialista Operativo Control Procesos</v>
          </cell>
          <cell r="E117" t="str">
            <v>Oper. 7X7 12 Hrs TAB A05</v>
          </cell>
          <cell r="F117" t="str">
            <v>Masculino</v>
          </cell>
          <cell r="G117" t="str">
            <v>JSILV048@CODELCO.CL</v>
          </cell>
          <cell r="H117">
            <v>42</v>
          </cell>
          <cell r="I117">
            <v>45089</v>
          </cell>
          <cell r="J117">
            <v>45089</v>
          </cell>
          <cell r="K117" t="str">
            <v>9</v>
          </cell>
          <cell r="L117">
            <v>45089</v>
          </cell>
          <cell r="M117">
            <v>45089</v>
          </cell>
          <cell r="N117">
            <v>45089</v>
          </cell>
          <cell r="O117">
            <v>45089</v>
          </cell>
          <cell r="P117">
            <v>54204</v>
          </cell>
          <cell r="Q117">
            <v>45089</v>
          </cell>
          <cell r="R117">
            <v>3</v>
          </cell>
          <cell r="S117">
            <v>45089</v>
          </cell>
          <cell r="T117" t="str">
            <v>VARGAS SANHUEZA MANUEL</v>
          </cell>
          <cell r="U117" t="str">
            <v>MVARG013@CODELCO.CL</v>
          </cell>
          <cell r="V117" t="str">
            <v>Gerencia de Operaciones</v>
          </cell>
          <cell r="W117" t="str">
            <v>Sptcia. Ingeniería de Procesos</v>
          </cell>
          <cell r="X117" t="str">
            <v>Sptcia. Ingeniería de Procesos</v>
          </cell>
          <cell r="Y117" t="str">
            <v>Operativo</v>
          </cell>
          <cell r="Z117" t="str">
            <v>Indefinido</v>
          </cell>
        </row>
        <row r="118">
          <cell r="A118" t="str">
            <v>303570</v>
          </cell>
          <cell r="B118" t="str">
            <v>165814932</v>
          </cell>
          <cell r="C118" t="str">
            <v>JURE BUSTAMANTE MATIAS ANDRES</v>
          </cell>
          <cell r="D118" t="str">
            <v>Ing. Confiabilidad Mantenimiento</v>
          </cell>
          <cell r="E118" t="str">
            <v>Prof. 4X3 12 hrs</v>
          </cell>
          <cell r="F118" t="str">
            <v>Masculino</v>
          </cell>
          <cell r="G118" t="str">
            <v>MJURE001@CODELCO.CL</v>
          </cell>
          <cell r="H118">
            <v>38</v>
          </cell>
          <cell r="I118">
            <v>45754</v>
          </cell>
          <cell r="J118">
            <v>45754</v>
          </cell>
          <cell r="K118" t="str">
            <v>8</v>
          </cell>
          <cell r="L118">
            <v>45754</v>
          </cell>
          <cell r="M118">
            <v>45754</v>
          </cell>
          <cell r="N118">
            <v>45754</v>
          </cell>
          <cell r="O118">
            <v>45754</v>
          </cell>
          <cell r="P118">
            <v>55791</v>
          </cell>
          <cell r="Q118">
            <v>45754</v>
          </cell>
          <cell r="R118">
            <v>1</v>
          </cell>
          <cell r="S118">
            <v>45754</v>
          </cell>
          <cell r="T118" t="str">
            <v>HEMMELMANN FUENTES NATHALIE</v>
          </cell>
          <cell r="U118" t="str">
            <v>NHEMM001@CODELCO.CL</v>
          </cell>
          <cell r="V118" t="str">
            <v>Gerencia de Mantenimiento</v>
          </cell>
          <cell r="W118" t="str">
            <v>Superintendencia de Confiabilidad</v>
          </cell>
          <cell r="X118" t="str">
            <v>Superintendencia de Confiabilidad</v>
          </cell>
          <cell r="Y118" t="str">
            <v>Profesional</v>
          </cell>
          <cell r="Z118" t="str">
            <v>Indefinido</v>
          </cell>
        </row>
        <row r="119">
          <cell r="A119" t="str">
            <v>303583</v>
          </cell>
          <cell r="B119" t="str">
            <v>171929393</v>
          </cell>
          <cell r="C119" t="str">
            <v>SALGADO ESCALONA ALEJANDRA ISABEL</v>
          </cell>
          <cell r="D119" t="str">
            <v>Ingeniero Confiabilidad</v>
          </cell>
          <cell r="E119" t="str">
            <v>Prof. 4X3 12 hrs</v>
          </cell>
          <cell r="F119" t="str">
            <v>Femenino</v>
          </cell>
          <cell r="G119" t="str">
            <v>ASALG010@CODELCO.CL</v>
          </cell>
          <cell r="H119">
            <v>37</v>
          </cell>
          <cell r="I119">
            <v>45124</v>
          </cell>
          <cell r="J119">
            <v>45124</v>
          </cell>
          <cell r="K119" t="str">
            <v>8</v>
          </cell>
          <cell r="L119">
            <v>45124</v>
          </cell>
          <cell r="M119">
            <v>45124</v>
          </cell>
          <cell r="N119">
            <v>45124</v>
          </cell>
          <cell r="O119">
            <v>45124</v>
          </cell>
          <cell r="P119">
            <v>54483</v>
          </cell>
          <cell r="Q119">
            <v>45124</v>
          </cell>
          <cell r="R119">
            <v>2</v>
          </cell>
          <cell r="S119">
            <v>45124</v>
          </cell>
          <cell r="T119" t="str">
            <v>HEMMELMANN FUENTES NATHALIE</v>
          </cell>
          <cell r="U119" t="str">
            <v>NHEMM001@CODELCO.CL</v>
          </cell>
          <cell r="V119" t="str">
            <v>Gerencia de Mantenimiento</v>
          </cell>
          <cell r="W119" t="str">
            <v>Superintendencia de Confiabilidad</v>
          </cell>
          <cell r="X119" t="str">
            <v>Superintendencia de Confiabilidad</v>
          </cell>
          <cell r="Y119" t="str">
            <v>Profesional</v>
          </cell>
          <cell r="Z119" t="str">
            <v>Indefinido</v>
          </cell>
        </row>
        <row r="120">
          <cell r="A120" t="str">
            <v>303701</v>
          </cell>
          <cell r="B120" t="str">
            <v>187575397</v>
          </cell>
          <cell r="C120" t="str">
            <v>BARRAZA saavedra FANNY LYSET</v>
          </cell>
          <cell r="D120" t="str">
            <v>Operador Mina</v>
          </cell>
          <cell r="E120" t="str">
            <v>Oper. 7X7 12 Hrs TAB G03</v>
          </cell>
          <cell r="F120" t="str">
            <v>Femenino</v>
          </cell>
          <cell r="G120" t="str">
            <v>FBARR051@CODELCO.CL</v>
          </cell>
          <cell r="H120">
            <v>31</v>
          </cell>
          <cell r="I120">
            <v>46000</v>
          </cell>
          <cell r="J120">
            <v>46000</v>
          </cell>
          <cell r="K120" t="str">
            <v>10</v>
          </cell>
          <cell r="L120">
            <v>46000</v>
          </cell>
          <cell r="M120">
            <v>46000</v>
          </cell>
          <cell r="N120">
            <v>46000</v>
          </cell>
          <cell r="O120">
            <v>46000</v>
          </cell>
          <cell r="P120">
            <v>56362</v>
          </cell>
          <cell r="Q120">
            <v>46000</v>
          </cell>
          <cell r="R120">
            <v>1</v>
          </cell>
          <cell r="S120">
            <v>46000</v>
          </cell>
          <cell r="T120" t="str">
            <v>ORTEGA ORTUYA CARLOS</v>
          </cell>
          <cell r="U120" t="str">
            <v>CORTE009@CODELCO.CL</v>
          </cell>
          <cell r="V120" t="str">
            <v>Gerencia de Operaciones</v>
          </cell>
          <cell r="W120" t="str">
            <v>Sptcia. Operacion Mina</v>
          </cell>
          <cell r="X120" t="str">
            <v>Sptcia. Operacion Mina</v>
          </cell>
          <cell r="Y120" t="str">
            <v>Operativo</v>
          </cell>
          <cell r="Z120" t="str">
            <v>Temporal</v>
          </cell>
        </row>
        <row r="121">
          <cell r="A121" t="str">
            <v>303857</v>
          </cell>
          <cell r="B121" t="str">
            <v>188247695</v>
          </cell>
          <cell r="C121" t="str">
            <v>AGUILERA GAETE KATHERINE DANIELA</v>
          </cell>
          <cell r="D121" t="str">
            <v>Ingeniero/a Op. Chancado y Apilamiento</v>
          </cell>
          <cell r="E121" t="str">
            <v>Prof. 4X3 12 hrs</v>
          </cell>
          <cell r="F121" t="str">
            <v>Femenino</v>
          </cell>
          <cell r="G121" t="str">
            <v>KAGUI005@CODELCO.CL</v>
          </cell>
          <cell r="H121">
            <v>31</v>
          </cell>
          <cell r="I121">
            <v>45215</v>
          </cell>
          <cell r="J121">
            <v>45215</v>
          </cell>
          <cell r="K121" t="str">
            <v>#</v>
          </cell>
          <cell r="L121">
            <v>45215</v>
          </cell>
          <cell r="M121">
            <v>45215</v>
          </cell>
          <cell r="N121">
            <v>45215</v>
          </cell>
          <cell r="O121">
            <v>45215</v>
          </cell>
          <cell r="P121">
            <v>56617</v>
          </cell>
          <cell r="Q121">
            <v>45215</v>
          </cell>
          <cell r="R121">
            <v>3</v>
          </cell>
          <cell r="S121">
            <v>45215</v>
          </cell>
          <cell r="T121" t="str">
            <v>LAU Olmos EDUARDO</v>
          </cell>
          <cell r="U121" t="str">
            <v>ELAU@CODELCO.CL</v>
          </cell>
          <cell r="V121" t="str">
            <v>Gerencia de Operaciones</v>
          </cell>
          <cell r="W121" t="str">
            <v>Sptcia. Operacion Area Seca</v>
          </cell>
          <cell r="X121" t="str">
            <v>Sptcia. Operacion Area Seca</v>
          </cell>
          <cell r="Y121" t="str">
            <v>Profesional</v>
          </cell>
          <cell r="Z121" t="str">
            <v>Indefinido</v>
          </cell>
        </row>
        <row r="122">
          <cell r="A122" t="str">
            <v>303891</v>
          </cell>
          <cell r="B122" t="str">
            <v>189855141</v>
          </cell>
          <cell r="C122" t="str">
            <v>RIVERA CARVAJAL VANESSA IVONNE</v>
          </cell>
          <cell r="D122" t="str">
            <v>Geólogo</v>
          </cell>
          <cell r="E122" t="str">
            <v>Oper. 7X7 12 Hrs TAB A06</v>
          </cell>
          <cell r="F122" t="str">
            <v>Femenino</v>
          </cell>
          <cell r="G122" t="str">
            <v>VRIVE014@CODELCO.CL</v>
          </cell>
          <cell r="H122">
            <v>31</v>
          </cell>
          <cell r="I122">
            <v>45236</v>
          </cell>
          <cell r="J122">
            <v>45236</v>
          </cell>
          <cell r="K122" t="str">
            <v>7</v>
          </cell>
          <cell r="L122">
            <v>45931</v>
          </cell>
          <cell r="M122">
            <v>45236</v>
          </cell>
          <cell r="N122">
            <v>45236</v>
          </cell>
          <cell r="O122">
            <v>45236</v>
          </cell>
          <cell r="P122">
            <v>56772</v>
          </cell>
          <cell r="Q122">
            <v>45236</v>
          </cell>
          <cell r="R122">
            <v>3</v>
          </cell>
          <cell r="S122">
            <v>45236</v>
          </cell>
          <cell r="T122" t="str">
            <v>NICOLAS VARGAS CLAUDIO ESTEBAN</v>
          </cell>
          <cell r="U122" t="str">
            <v>CNICOLAS@CODELCO.CL</v>
          </cell>
          <cell r="V122" t="str">
            <v>Gerencia de Recursos Mineros y Desarr</v>
          </cell>
          <cell r="W122" t="str">
            <v>Superintendencia Geologia</v>
          </cell>
          <cell r="X122" t="str">
            <v>Superintendencia Geologia</v>
          </cell>
          <cell r="Y122" t="str">
            <v>Profesional</v>
          </cell>
          <cell r="Z122" t="str">
            <v>Indefinido</v>
          </cell>
        </row>
        <row r="123">
          <cell r="A123" t="str">
            <v>303892</v>
          </cell>
          <cell r="B123" t="str">
            <v>194636059</v>
          </cell>
          <cell r="C123" t="str">
            <v>ROJAS FARIAS JAVIERA</v>
          </cell>
          <cell r="D123" t="str">
            <v>Geólogo</v>
          </cell>
          <cell r="E123" t="str">
            <v>Oper. 7X7 12 Hrs TAB A05</v>
          </cell>
          <cell r="F123" t="str">
            <v>Femenino</v>
          </cell>
          <cell r="G123" t="str">
            <v>JROJA221@CODELCO.CL</v>
          </cell>
          <cell r="H123">
            <v>28</v>
          </cell>
          <cell r="I123">
            <v>45236</v>
          </cell>
          <cell r="J123">
            <v>45236</v>
          </cell>
          <cell r="K123" t="str">
            <v>7</v>
          </cell>
          <cell r="L123">
            <v>45931</v>
          </cell>
          <cell r="M123">
            <v>45236</v>
          </cell>
          <cell r="N123">
            <v>45236</v>
          </cell>
          <cell r="O123">
            <v>45236</v>
          </cell>
          <cell r="P123">
            <v>57618</v>
          </cell>
          <cell r="Q123">
            <v>45236</v>
          </cell>
          <cell r="R123">
            <v>3</v>
          </cell>
          <cell r="S123">
            <v>45236</v>
          </cell>
          <cell r="T123" t="str">
            <v>NICOLAS VARGAS CLAUDIO ESTEBAN</v>
          </cell>
          <cell r="U123" t="str">
            <v>CNICOLAS@CODELCO.CL</v>
          </cell>
          <cell r="V123" t="str">
            <v>Gerencia de Recursos Mineros y Desarr</v>
          </cell>
          <cell r="W123" t="str">
            <v>Superintendencia Geologia</v>
          </cell>
          <cell r="X123" t="str">
            <v>Superintendencia Geologia</v>
          </cell>
          <cell r="Y123" t="str">
            <v>Profesional</v>
          </cell>
          <cell r="Z123" t="str">
            <v>Indefinido</v>
          </cell>
        </row>
        <row r="124">
          <cell r="A124" t="str">
            <v>303893</v>
          </cell>
          <cell r="B124" t="str">
            <v>197384409</v>
          </cell>
          <cell r="C124" t="str">
            <v>CARRILLO OCARANZA PAULA ALEJANDRA FELISA</v>
          </cell>
          <cell r="D124" t="str">
            <v>Ingeniero Turno Mantenimiento</v>
          </cell>
          <cell r="E124" t="str">
            <v>Oper. 7X7 12 Hrs TAB G04</v>
          </cell>
          <cell r="F124" t="str">
            <v>Femenino</v>
          </cell>
          <cell r="G124" t="str">
            <v>PCARR041@CODELCO.CL</v>
          </cell>
          <cell r="H124">
            <v>28</v>
          </cell>
          <cell r="I124">
            <v>45236</v>
          </cell>
          <cell r="J124">
            <v>45597</v>
          </cell>
          <cell r="K124" t="str">
            <v>8</v>
          </cell>
          <cell r="L124">
            <v>45597</v>
          </cell>
          <cell r="M124">
            <v>45236</v>
          </cell>
          <cell r="N124">
            <v>45597</v>
          </cell>
          <cell r="O124">
            <v>45236</v>
          </cell>
          <cell r="P124">
            <v>57804</v>
          </cell>
          <cell r="Q124">
            <v>45236</v>
          </cell>
          <cell r="R124">
            <v>3</v>
          </cell>
          <cell r="S124">
            <v>45236</v>
          </cell>
          <cell r="T124" t="str">
            <v>Sin asignar</v>
          </cell>
          <cell r="U124" t="str">
            <v>Sin asignar</v>
          </cell>
          <cell r="V124" t="str">
            <v>Gerencia de Mantenimiento</v>
          </cell>
          <cell r="W124" t="str">
            <v>Sptcia. Mtto. Area Seca</v>
          </cell>
          <cell r="X124" t="str">
            <v>Sptcia. Mtto. Area Seca</v>
          </cell>
          <cell r="Y124" t="str">
            <v>Profesional</v>
          </cell>
          <cell r="Z124" t="str">
            <v>Indefinido</v>
          </cell>
        </row>
        <row r="125">
          <cell r="A125" t="str">
            <v>303894</v>
          </cell>
          <cell r="B125" t="str">
            <v>193191053</v>
          </cell>
          <cell r="C125" t="str">
            <v>DIAZ PEREZ MARION PILAR</v>
          </cell>
          <cell r="D125" t="str">
            <v>Ingeniero Control Producción</v>
          </cell>
          <cell r="E125" t="str">
            <v>Oper. 7X7 12 Hrs TAB A05</v>
          </cell>
          <cell r="F125" t="str">
            <v>Femenino</v>
          </cell>
          <cell r="G125" t="str">
            <v>MDIAZ146@CODELCO.CL</v>
          </cell>
          <cell r="H125">
            <v>30</v>
          </cell>
          <cell r="I125">
            <v>45236</v>
          </cell>
          <cell r="J125">
            <v>45597</v>
          </cell>
          <cell r="K125" t="str">
            <v>#</v>
          </cell>
          <cell r="L125">
            <v>45597</v>
          </cell>
          <cell r="M125">
            <v>45236</v>
          </cell>
          <cell r="N125">
            <v>45597</v>
          </cell>
          <cell r="O125">
            <v>45236</v>
          </cell>
          <cell r="P125">
            <v>57036</v>
          </cell>
          <cell r="Q125">
            <v>45236</v>
          </cell>
          <cell r="R125">
            <v>3</v>
          </cell>
          <cell r="S125">
            <v>45236</v>
          </cell>
          <cell r="T125" t="str">
            <v>VELIZ LOPEZ ERIC FELIPE PATRICIO</v>
          </cell>
          <cell r="U125" t="str">
            <v>EVELI007@CODELCO.CL</v>
          </cell>
          <cell r="V125" t="str">
            <v>Gerencia de Operaciones</v>
          </cell>
          <cell r="W125" t="str">
            <v>Sptcia. Ingenieria y Gestion Mina</v>
          </cell>
          <cell r="X125" t="str">
            <v>Sptcia. Ingenieria y Gestion Mina</v>
          </cell>
          <cell r="Y125" t="str">
            <v>Profesional</v>
          </cell>
          <cell r="Z125" t="str">
            <v>Indefinido</v>
          </cell>
        </row>
        <row r="126">
          <cell r="A126" t="str">
            <v>303895</v>
          </cell>
          <cell r="B126" t="str">
            <v>019599269K</v>
          </cell>
          <cell r="C126" t="str">
            <v>MAUREIRA ULLOA ANALEE MAYARA</v>
          </cell>
          <cell r="D126" t="str">
            <v>Ingeniero de Excelencia Operacional</v>
          </cell>
          <cell r="E126" t="str">
            <v>Prof. 4X3 12 hrs</v>
          </cell>
          <cell r="F126" t="str">
            <v>Femenino</v>
          </cell>
          <cell r="G126" t="str">
            <v>AMAUR004@CODELCO.CL</v>
          </cell>
          <cell r="H126">
            <v>29</v>
          </cell>
          <cell r="I126">
            <v>45236</v>
          </cell>
          <cell r="J126">
            <v>45597</v>
          </cell>
          <cell r="K126" t="str">
            <v>#</v>
          </cell>
          <cell r="L126">
            <v>45597</v>
          </cell>
          <cell r="M126">
            <v>45236</v>
          </cell>
          <cell r="N126">
            <v>45597</v>
          </cell>
          <cell r="O126">
            <v>45236</v>
          </cell>
          <cell r="P126">
            <v>57569</v>
          </cell>
          <cell r="Q126">
            <v>45236</v>
          </cell>
          <cell r="R126">
            <v>3</v>
          </cell>
          <cell r="S126">
            <v>45236</v>
          </cell>
          <cell r="T126" t="str">
            <v>VENEGAS MILLONES GABRIELA PATRICIA</v>
          </cell>
          <cell r="U126" t="str">
            <v>GVENE001@CODELCO.CL</v>
          </cell>
          <cell r="V126" t="str">
            <v>Direccion de Excelencia Operacional</v>
          </cell>
          <cell r="W126" t="str">
            <v>Sin asignar</v>
          </cell>
          <cell r="X126" t="str">
            <v>Direccion de Excelencia Operacional</v>
          </cell>
          <cell r="Y126" t="str">
            <v>Profesional</v>
          </cell>
          <cell r="Z126" t="str">
            <v>Indefinido</v>
          </cell>
        </row>
        <row r="127">
          <cell r="A127" t="str">
            <v>303896</v>
          </cell>
          <cell r="B127" t="str">
            <v>019196067K</v>
          </cell>
          <cell r="C127" t="str">
            <v>MOLINA ROTTEN JOSE LUIS</v>
          </cell>
          <cell r="D127" t="str">
            <v>Ing. Turno Mtto. Eléctrico</v>
          </cell>
          <cell r="E127" t="str">
            <v>Oper. 7X7 12 Hrs TAB A05</v>
          </cell>
          <cell r="F127" t="str">
            <v>Masculino</v>
          </cell>
          <cell r="G127" t="str">
            <v>JMOLI053@CODELCO.CL</v>
          </cell>
          <cell r="H127">
            <v>31</v>
          </cell>
          <cell r="I127">
            <v>45236</v>
          </cell>
          <cell r="J127">
            <v>45597</v>
          </cell>
          <cell r="K127" t="str">
            <v>#</v>
          </cell>
          <cell r="L127">
            <v>45597</v>
          </cell>
          <cell r="M127">
            <v>45236</v>
          </cell>
          <cell r="N127">
            <v>45597</v>
          </cell>
          <cell r="O127">
            <v>45236</v>
          </cell>
          <cell r="P127">
            <v>58750</v>
          </cell>
          <cell r="Q127">
            <v>45236</v>
          </cell>
          <cell r="R127">
            <v>3</v>
          </cell>
          <cell r="S127">
            <v>45236</v>
          </cell>
          <cell r="T127" t="str">
            <v>SAINZ DE LA PEÑA CERON RODRIGO FERNANDO</v>
          </cell>
          <cell r="U127" t="str">
            <v>RSAINZDE@CODELCO.CL</v>
          </cell>
          <cell r="V127" t="str">
            <v>Gerencia de Mantenimiento</v>
          </cell>
          <cell r="W127" t="str">
            <v>Sptcia. Mtto. Area Seca</v>
          </cell>
          <cell r="X127" t="str">
            <v>Sptcia. Mtto. Area Seca</v>
          </cell>
          <cell r="Y127" t="str">
            <v>Profesional</v>
          </cell>
          <cell r="Z127" t="str">
            <v>Indefinido</v>
          </cell>
        </row>
        <row r="128">
          <cell r="A128" t="str">
            <v>303897</v>
          </cell>
          <cell r="B128" t="str">
            <v>194266111</v>
          </cell>
          <cell r="C128" t="str">
            <v>BAEZ GIACOMOZZI VANIA</v>
          </cell>
          <cell r="D128" t="str">
            <v>Ingeniero Confiabilidad</v>
          </cell>
          <cell r="E128" t="str">
            <v>Oper. 7X7 12 Hrs TAB G03</v>
          </cell>
          <cell r="F128" t="str">
            <v>Femenino</v>
          </cell>
          <cell r="G128" t="str">
            <v>VBAEZ002@CODELCO.CL</v>
          </cell>
          <cell r="H128">
            <v>29</v>
          </cell>
          <cell r="I128">
            <v>45243</v>
          </cell>
          <cell r="J128">
            <v>45243</v>
          </cell>
          <cell r="K128" t="str">
            <v>8</v>
          </cell>
          <cell r="L128">
            <v>45243</v>
          </cell>
          <cell r="M128">
            <v>45243</v>
          </cell>
          <cell r="N128">
            <v>45243</v>
          </cell>
          <cell r="O128">
            <v>45243</v>
          </cell>
          <cell r="P128">
            <v>57096</v>
          </cell>
          <cell r="Q128">
            <v>45243</v>
          </cell>
          <cell r="R128">
            <v>3</v>
          </cell>
          <cell r="S128">
            <v>45243</v>
          </cell>
          <cell r="T128" t="str">
            <v>Sin asignar</v>
          </cell>
          <cell r="U128" t="str">
            <v>Sin asignar</v>
          </cell>
          <cell r="V128" t="str">
            <v>Gerencia de Mantenimiento</v>
          </cell>
          <cell r="W128" t="str">
            <v>Sptcia. Mtto. Area Seca</v>
          </cell>
          <cell r="X128" t="str">
            <v>Sptcia. Mtto. Area Seca</v>
          </cell>
          <cell r="Y128" t="str">
            <v>Profesional</v>
          </cell>
          <cell r="Z128" t="str">
            <v>Indefinido</v>
          </cell>
        </row>
        <row r="129">
          <cell r="A129" t="str">
            <v>303969</v>
          </cell>
          <cell r="B129" t="str">
            <v>180853626</v>
          </cell>
          <cell r="C129" t="str">
            <v>VEGA ALMENDRA IGNACIA</v>
          </cell>
          <cell r="D129" t="str">
            <v>Ingeniero Turno Operaciones Mina</v>
          </cell>
          <cell r="E129" t="str">
            <v>Oper. 7X7 12 Hrs TAB G03</v>
          </cell>
          <cell r="F129" t="str">
            <v>Femenino</v>
          </cell>
          <cell r="G129" t="str">
            <v>IVEGA004@CODELCO.CL</v>
          </cell>
          <cell r="H129">
            <v>34</v>
          </cell>
          <cell r="I129">
            <v>45236</v>
          </cell>
          <cell r="J129">
            <v>45236</v>
          </cell>
          <cell r="K129" t="str">
            <v>8</v>
          </cell>
          <cell r="L129">
            <v>45236</v>
          </cell>
          <cell r="M129">
            <v>45236</v>
          </cell>
          <cell r="N129">
            <v>45236</v>
          </cell>
          <cell r="O129">
            <v>45236</v>
          </cell>
          <cell r="P129">
            <v>55594</v>
          </cell>
          <cell r="Q129">
            <v>45236</v>
          </cell>
          <cell r="R129">
            <v>3</v>
          </cell>
          <cell r="S129">
            <v>45236</v>
          </cell>
          <cell r="T129" t="str">
            <v>EVANS VERGARA CARLO ANDRES</v>
          </cell>
          <cell r="U129" t="str">
            <v>CEVANS@CODELCO.CL</v>
          </cell>
          <cell r="V129" t="str">
            <v>Gerencia de Operaciones</v>
          </cell>
          <cell r="W129" t="str">
            <v>Sptcia. Operacion Mina</v>
          </cell>
          <cell r="X129" t="str">
            <v>Sptcia. Operacion Mina</v>
          </cell>
          <cell r="Y129" t="str">
            <v>Profesional</v>
          </cell>
          <cell r="Z129" t="str">
            <v>Indefinido</v>
          </cell>
        </row>
        <row r="130">
          <cell r="A130" t="str">
            <v>304062</v>
          </cell>
          <cell r="B130" t="str">
            <v>151365795</v>
          </cell>
          <cell r="C130" t="str">
            <v>LABARRA PALMA NATALIA ANELISE</v>
          </cell>
          <cell r="D130" t="str">
            <v>Analista Calidad</v>
          </cell>
          <cell r="E130" t="str">
            <v>Prof. 4X3 12 hrs</v>
          </cell>
          <cell r="F130" t="str">
            <v>Femenino</v>
          </cell>
          <cell r="G130" t="str">
            <v>NLABA001@CODELCO.CL</v>
          </cell>
          <cell r="H130">
            <v>43</v>
          </cell>
          <cell r="I130">
            <v>45278</v>
          </cell>
          <cell r="J130">
            <v>45278</v>
          </cell>
          <cell r="K130" t="str">
            <v>9</v>
          </cell>
          <cell r="L130">
            <v>45597</v>
          </cell>
          <cell r="M130">
            <v>45278</v>
          </cell>
          <cell r="N130">
            <v>45278</v>
          </cell>
          <cell r="O130">
            <v>45278</v>
          </cell>
          <cell r="P130">
            <v>52221</v>
          </cell>
          <cell r="Q130">
            <v>45278</v>
          </cell>
          <cell r="R130">
            <v>2</v>
          </cell>
          <cell r="S130">
            <v>45278</v>
          </cell>
          <cell r="T130" t="str">
            <v>VERGARA CONTRERAS SUSANNA ANGELICA ALEJA</v>
          </cell>
          <cell r="U130" t="str">
            <v>SVERGARA@CODELCO.CL</v>
          </cell>
          <cell r="V130" t="str">
            <v>Gerencia de Recursos Mineros y Desarr</v>
          </cell>
          <cell r="W130" t="str">
            <v>Superintendencia Planificacion Planta</v>
          </cell>
          <cell r="X130" t="str">
            <v>Superintendencia Planificacion Planta</v>
          </cell>
          <cell r="Y130" t="str">
            <v>Operativo</v>
          </cell>
          <cell r="Z130" t="str">
            <v>Indefinido</v>
          </cell>
        </row>
        <row r="131">
          <cell r="A131" t="str">
            <v>304085</v>
          </cell>
          <cell r="B131" t="str">
            <v>181828447</v>
          </cell>
          <cell r="C131" t="str">
            <v>ESQUIVEL Sierra KAREN ROCÍO</v>
          </cell>
          <cell r="D131" t="str">
            <v>Operador Planta AS</v>
          </cell>
          <cell r="E131" t="str">
            <v>Oper. 7X7 12 Hrs TAB G01</v>
          </cell>
          <cell r="F131" t="str">
            <v>Femenino</v>
          </cell>
          <cell r="G131" t="str">
            <v>KESQU002@CODELCO.CL</v>
          </cell>
          <cell r="H131">
            <v>33</v>
          </cell>
          <cell r="I131">
            <v>45962</v>
          </cell>
          <cell r="J131">
            <v>45962</v>
          </cell>
          <cell r="K131" t="str">
            <v>#</v>
          </cell>
          <cell r="L131">
            <v>45962</v>
          </cell>
          <cell r="M131">
            <v>45962</v>
          </cell>
          <cell r="N131">
            <v>45962</v>
          </cell>
          <cell r="O131">
            <v>45642</v>
          </cell>
          <cell r="P131">
            <v>45962</v>
          </cell>
          <cell r="Q131">
            <v>45962</v>
          </cell>
          <cell r="R131">
            <v>1</v>
          </cell>
          <cell r="S131">
            <v>45962</v>
          </cell>
          <cell r="T131" t="str">
            <v>LAU Olmos EDUARDO</v>
          </cell>
          <cell r="U131" t="str">
            <v>ELAU@CODELCO.CL</v>
          </cell>
          <cell r="V131" t="str">
            <v>Gerencia de Operaciones</v>
          </cell>
          <cell r="W131" t="str">
            <v>Sptcia. Operacion Area Seca</v>
          </cell>
          <cell r="X131" t="str">
            <v>Sptcia. Operacion Area Seca</v>
          </cell>
          <cell r="Y131" t="str">
            <v>Operativo</v>
          </cell>
          <cell r="Z131" t="str">
            <v>Indefinido</v>
          </cell>
        </row>
        <row r="132">
          <cell r="A132" t="str">
            <v>304095</v>
          </cell>
          <cell r="B132" t="str">
            <v>170942728</v>
          </cell>
          <cell r="C132" t="str">
            <v>MONTOYA Leyton VANESA MACARENA</v>
          </cell>
          <cell r="D132" t="str">
            <v>Operador Mina</v>
          </cell>
          <cell r="E132" t="str">
            <v>Oper. 7X7 12 Hrs TAB G02</v>
          </cell>
          <cell r="F132" t="str">
            <v>Femenino</v>
          </cell>
          <cell r="G132" t="str">
            <v>VMONT002@CODELCO.CL</v>
          </cell>
          <cell r="H132">
            <v>37</v>
          </cell>
          <cell r="I132">
            <v>45642</v>
          </cell>
          <cell r="J132">
            <v>45642</v>
          </cell>
          <cell r="K132" t="str">
            <v>10</v>
          </cell>
          <cell r="L132">
            <v>45642</v>
          </cell>
          <cell r="M132">
            <v>45642</v>
          </cell>
          <cell r="N132">
            <v>45642</v>
          </cell>
          <cell r="O132">
            <v>45642</v>
          </cell>
          <cell r="P132">
            <v>54518</v>
          </cell>
          <cell r="Q132">
            <v>45642</v>
          </cell>
          <cell r="R132">
            <v>2</v>
          </cell>
          <cell r="S132">
            <v>45642</v>
          </cell>
          <cell r="T132" t="str">
            <v>ORTEGA ORTUYA CARLOS</v>
          </cell>
          <cell r="U132" t="str">
            <v>CORTE009@CODELCO.CL</v>
          </cell>
          <cell r="V132" t="str">
            <v>Gerencia de Operaciones</v>
          </cell>
          <cell r="W132" t="str">
            <v>Sptcia. Operacion Mina</v>
          </cell>
          <cell r="X132" t="str">
            <v>Sptcia. Operacion Mina</v>
          </cell>
          <cell r="Y132" t="str">
            <v>Operativo</v>
          </cell>
          <cell r="Z132" t="str">
            <v>Indefinido</v>
          </cell>
        </row>
        <row r="133">
          <cell r="A133" t="str">
            <v>304097</v>
          </cell>
          <cell r="B133" t="str">
            <v>017973818K</v>
          </cell>
          <cell r="C133" t="str">
            <v>VALENZUELA CHINCHILLA YESENIA BERNARDA</v>
          </cell>
          <cell r="D133" t="str">
            <v>Operador Mina</v>
          </cell>
          <cell r="E133" t="str">
            <v>Oper. 7X7 12 Hrs TAB G04</v>
          </cell>
          <cell r="F133" t="str">
            <v>Femenino</v>
          </cell>
          <cell r="G133" t="str">
            <v>YVALE005@CODELCO.CL</v>
          </cell>
          <cell r="H133">
            <v>35</v>
          </cell>
          <cell r="I133">
            <v>45642</v>
          </cell>
          <cell r="J133">
            <v>45642</v>
          </cell>
          <cell r="K133" t="str">
            <v>10</v>
          </cell>
          <cell r="L133">
            <v>45642</v>
          </cell>
          <cell r="M133">
            <v>45642</v>
          </cell>
          <cell r="N133">
            <v>45642</v>
          </cell>
          <cell r="O133">
            <v>45642</v>
          </cell>
          <cell r="P133">
            <v>55315</v>
          </cell>
          <cell r="Q133">
            <v>45642</v>
          </cell>
          <cell r="R133">
            <v>2</v>
          </cell>
          <cell r="S133">
            <v>45642</v>
          </cell>
          <cell r="T133" t="str">
            <v>ORTEGA ORTUYA CARLOS</v>
          </cell>
          <cell r="U133" t="str">
            <v>CORTE009@CODELCO.CL</v>
          </cell>
          <cell r="V133" t="str">
            <v>Gerencia de Operaciones</v>
          </cell>
          <cell r="W133" t="str">
            <v>Sptcia. Operacion Mina</v>
          </cell>
          <cell r="X133" t="str">
            <v>Sptcia. Operacion Mina</v>
          </cell>
          <cell r="Y133" t="str">
            <v>Operativo</v>
          </cell>
          <cell r="Z133" t="str">
            <v>Indefinido</v>
          </cell>
        </row>
        <row r="134">
          <cell r="A134" t="str">
            <v>304100</v>
          </cell>
          <cell r="B134" t="str">
            <v>246767351</v>
          </cell>
          <cell r="C134" t="str">
            <v>VERA Villalba ERIKA JULIETH</v>
          </cell>
          <cell r="D134" t="str">
            <v>Operador Planta AH</v>
          </cell>
          <cell r="E134" t="str">
            <v>Oper. 7X7 12 Hrs TAB A05</v>
          </cell>
          <cell r="F134" t="str">
            <v>Femenino</v>
          </cell>
          <cell r="G134" t="str">
            <v>EVERA007@CODELCO.CL</v>
          </cell>
          <cell r="H134">
            <v>32</v>
          </cell>
          <cell r="I134">
            <v>45642</v>
          </cell>
          <cell r="J134">
            <v>45642</v>
          </cell>
          <cell r="K134" t="str">
            <v>10</v>
          </cell>
          <cell r="L134">
            <v>45642</v>
          </cell>
          <cell r="M134">
            <v>45642</v>
          </cell>
          <cell r="N134">
            <v>45642</v>
          </cell>
          <cell r="O134">
            <v>45642</v>
          </cell>
          <cell r="P134">
            <v>56465</v>
          </cell>
          <cell r="Q134">
            <v>45642</v>
          </cell>
          <cell r="R134">
            <v>2</v>
          </cell>
          <cell r="S134">
            <v>45642</v>
          </cell>
          <cell r="T134" t="str">
            <v>NAVARRO CARVAJAL JUAN FRANCISCO</v>
          </cell>
          <cell r="U134" t="str">
            <v>JNAVA020@CODELCO.CL</v>
          </cell>
          <cell r="V134" t="str">
            <v>Gerencia de Operaciones</v>
          </cell>
          <cell r="W134" t="str">
            <v>Sptcia. Operacion Area Hum.</v>
          </cell>
          <cell r="X134" t="str">
            <v>Sx Ew y Patio de Embarque</v>
          </cell>
          <cell r="Y134" t="str">
            <v>Operativo</v>
          </cell>
          <cell r="Z134" t="str">
            <v>Indefinido</v>
          </cell>
        </row>
        <row r="135">
          <cell r="A135" t="str">
            <v>304142</v>
          </cell>
          <cell r="B135" t="str">
            <v>159721477</v>
          </cell>
          <cell r="C135" t="str">
            <v>TAPIA ZÚÑIGA JACKELINE</v>
          </cell>
          <cell r="D135" t="str">
            <v>Ingeniero Contratos Suministros</v>
          </cell>
          <cell r="E135" t="str">
            <v>Prof. 4X3 12 hrs</v>
          </cell>
          <cell r="F135" t="str">
            <v>Femenino</v>
          </cell>
          <cell r="G135" t="str">
            <v>JTAPI089@CODELCO.CL</v>
          </cell>
          <cell r="H135">
            <v>41</v>
          </cell>
          <cell r="I135">
            <v>45278</v>
          </cell>
          <cell r="J135">
            <v>45278</v>
          </cell>
          <cell r="K135" t="str">
            <v>#</v>
          </cell>
          <cell r="L135">
            <v>45278</v>
          </cell>
          <cell r="M135">
            <v>45278</v>
          </cell>
          <cell r="N135">
            <v>45278</v>
          </cell>
          <cell r="O135">
            <v>45278</v>
          </cell>
          <cell r="P135">
            <v>52992</v>
          </cell>
          <cell r="Q135">
            <v>45278</v>
          </cell>
          <cell r="R135">
            <v>2</v>
          </cell>
          <cell r="S135">
            <v>45278</v>
          </cell>
          <cell r="T135" t="str">
            <v>ONETO GONZALEZ CRISTIAN</v>
          </cell>
          <cell r="U135" t="str">
            <v>CONETO@CODELCO.CL</v>
          </cell>
          <cell r="V135" t="str">
            <v>Gerencia de Administración</v>
          </cell>
          <cell r="W135" t="str">
            <v>Supte. Proyectos, Infra. y Suministros</v>
          </cell>
          <cell r="X135" t="str">
            <v>Supte. Proyectos, Infra. y Suministros</v>
          </cell>
          <cell r="Y135" t="str">
            <v>Profesional</v>
          </cell>
          <cell r="Z135" t="str">
            <v>Indefinido</v>
          </cell>
        </row>
        <row r="136">
          <cell r="A136" t="str">
            <v>304205</v>
          </cell>
          <cell r="B136" t="str">
            <v>138752488</v>
          </cell>
          <cell r="C136" t="str">
            <v>ARAYA ARAYA ALEXANDRA</v>
          </cell>
          <cell r="D136" t="str">
            <v>Ingeniero Planif. Mantenimiento AH</v>
          </cell>
          <cell r="E136" t="str">
            <v>Oper. 7X7 12 Hrs TAB A06</v>
          </cell>
          <cell r="F136" t="str">
            <v>Femenino</v>
          </cell>
          <cell r="G136" t="str">
            <v>AARAY109@CODELCO.CL</v>
          </cell>
          <cell r="H136">
            <v>45</v>
          </cell>
          <cell r="I136">
            <v>45306</v>
          </cell>
          <cell r="J136">
            <v>45306</v>
          </cell>
          <cell r="K136" t="str">
            <v>8</v>
          </cell>
          <cell r="L136">
            <v>45306</v>
          </cell>
          <cell r="M136">
            <v>45306</v>
          </cell>
          <cell r="N136">
            <v>45306</v>
          </cell>
          <cell r="O136">
            <v>45306</v>
          </cell>
          <cell r="P136">
            <v>51284</v>
          </cell>
          <cell r="Q136">
            <v>45306</v>
          </cell>
          <cell r="R136">
            <v>2</v>
          </cell>
          <cell r="S136">
            <v>45306</v>
          </cell>
          <cell r="T136" t="str">
            <v>HERRERA FUENZALIDA ALEX</v>
          </cell>
          <cell r="U136" t="str">
            <v>AHERR024@CODELCO.CL</v>
          </cell>
          <cell r="V136" t="str">
            <v>Gerencia de Mantenimiento</v>
          </cell>
          <cell r="W136" t="str">
            <v>Sptcia. Planificacion Mantenimiento</v>
          </cell>
          <cell r="X136" t="str">
            <v>Sptcia. Planificacion Mantenimiento</v>
          </cell>
          <cell r="Y136" t="str">
            <v>Profesional</v>
          </cell>
          <cell r="Z136" t="str">
            <v>Indefinido</v>
          </cell>
        </row>
        <row r="137">
          <cell r="A137" t="str">
            <v>304233</v>
          </cell>
          <cell r="B137" t="str">
            <v>225721734</v>
          </cell>
          <cell r="C137" t="str">
            <v>EXIQUEL SALVATIERRA PORFIRIO</v>
          </cell>
          <cell r="D137" t="str">
            <v>Operador Mina</v>
          </cell>
          <cell r="E137" t="str">
            <v>Oper. 7X7 12 Hrs TAB G02</v>
          </cell>
          <cell r="F137" t="str">
            <v>Masculino</v>
          </cell>
          <cell r="G137" t="str">
            <v>PEXIQ001@CODELCO.CL</v>
          </cell>
          <cell r="H137">
            <v>44</v>
          </cell>
          <cell r="I137">
            <v>45768</v>
          </cell>
          <cell r="J137">
            <v>45768</v>
          </cell>
          <cell r="K137" t="str">
            <v>10</v>
          </cell>
          <cell r="L137">
            <v>45768</v>
          </cell>
          <cell r="M137">
            <v>45768</v>
          </cell>
          <cell r="N137">
            <v>45768</v>
          </cell>
          <cell r="O137">
            <v>45329</v>
          </cell>
          <cell r="P137">
            <v>53446</v>
          </cell>
          <cell r="Q137">
            <v>45768</v>
          </cell>
          <cell r="R137">
            <v>0</v>
          </cell>
          <cell r="S137">
            <v>45768</v>
          </cell>
          <cell r="T137" t="str">
            <v>Sin asignar</v>
          </cell>
          <cell r="U137" t="str">
            <v>Sin asignar</v>
          </cell>
          <cell r="V137" t="str">
            <v>Gerencia de Operaciones</v>
          </cell>
          <cell r="W137" t="str">
            <v>Sptcia. Operacion Mina</v>
          </cell>
          <cell r="X137" t="str">
            <v>Sptcia. Operacion Mina</v>
          </cell>
          <cell r="Y137" t="str">
            <v>Operativo</v>
          </cell>
          <cell r="Z137" t="str">
            <v>Indefinido</v>
          </cell>
        </row>
        <row r="138">
          <cell r="A138" t="str">
            <v>304240</v>
          </cell>
          <cell r="B138" t="str">
            <v>128390839</v>
          </cell>
          <cell r="C138" t="str">
            <v>PALLERO MUÑOZ ALEJANDRA</v>
          </cell>
          <cell r="D138" t="str">
            <v>Ingeniero Servicio a las Personas</v>
          </cell>
          <cell r="E138" t="str">
            <v>Prof. 4X3 12 hrs</v>
          </cell>
          <cell r="F138" t="str">
            <v>Femenino</v>
          </cell>
          <cell r="G138" t="str">
            <v>APALL004@CODELCO.CL</v>
          </cell>
          <cell r="H138">
            <v>50</v>
          </cell>
          <cell r="I138">
            <v>45334</v>
          </cell>
          <cell r="J138">
            <v>45334</v>
          </cell>
          <cell r="K138" t="str">
            <v>8</v>
          </cell>
          <cell r="L138">
            <v>45334</v>
          </cell>
          <cell r="M138">
            <v>45334</v>
          </cell>
          <cell r="N138">
            <v>45334</v>
          </cell>
          <cell r="O138">
            <v>45334</v>
          </cell>
          <cell r="P138">
            <v>49458</v>
          </cell>
          <cell r="Q138">
            <v>45334</v>
          </cell>
          <cell r="R138">
            <v>2</v>
          </cell>
          <cell r="S138">
            <v>45334</v>
          </cell>
          <cell r="T138" t="str">
            <v>Sin asignar</v>
          </cell>
          <cell r="U138" t="str">
            <v>Sin asignar</v>
          </cell>
          <cell r="V138" t="str">
            <v>Gerencia de Administración</v>
          </cell>
          <cell r="W138" t="str">
            <v>Direccion de Servicio a las Personas</v>
          </cell>
          <cell r="X138" t="str">
            <v>Direccion de Servicio a las Personas</v>
          </cell>
          <cell r="Y138" t="str">
            <v>Profesional</v>
          </cell>
          <cell r="Z138" t="str">
            <v>Indefinido</v>
          </cell>
        </row>
        <row r="139">
          <cell r="A139" t="str">
            <v>304406</v>
          </cell>
          <cell r="B139" t="str">
            <v>158254425</v>
          </cell>
          <cell r="C139" t="str">
            <v>POZO ARAYA FRANCISCO EDUARDO</v>
          </cell>
          <cell r="D139" t="str">
            <v>Ing. Esp. Proyecto e Infraestructura</v>
          </cell>
          <cell r="E139" t="str">
            <v>Prof. 4X3 12 hrs</v>
          </cell>
          <cell r="F139" t="str">
            <v>Masculino</v>
          </cell>
          <cell r="G139" t="str">
            <v>FPOZO003@CODELCO.CL</v>
          </cell>
          <cell r="H139">
            <v>42</v>
          </cell>
          <cell r="I139">
            <v>45425</v>
          </cell>
          <cell r="J139">
            <v>45425</v>
          </cell>
          <cell r="K139" t="str">
            <v>#</v>
          </cell>
          <cell r="L139">
            <v>45425</v>
          </cell>
          <cell r="M139">
            <v>45425</v>
          </cell>
          <cell r="N139">
            <v>45425</v>
          </cell>
          <cell r="O139">
            <v>45425</v>
          </cell>
          <cell r="P139">
            <v>54545</v>
          </cell>
          <cell r="Q139">
            <v>45425</v>
          </cell>
          <cell r="R139">
            <v>2</v>
          </cell>
          <cell r="S139">
            <v>45425</v>
          </cell>
          <cell r="T139" t="str">
            <v>ONETO GONZALEZ CRISTIAN</v>
          </cell>
          <cell r="U139" t="str">
            <v>CONETO@CODELCO.CL</v>
          </cell>
          <cell r="V139" t="str">
            <v>Gerencia de Administración</v>
          </cell>
          <cell r="W139" t="str">
            <v>Supte. Proyectos, Infra. y Suministros</v>
          </cell>
          <cell r="X139" t="str">
            <v>Supte. Proyectos, Infra. y Suministros</v>
          </cell>
          <cell r="Y139" t="str">
            <v>Profesional</v>
          </cell>
          <cell r="Z139" t="str">
            <v>Indefinido</v>
          </cell>
        </row>
        <row r="140">
          <cell r="A140" t="str">
            <v>304473</v>
          </cell>
          <cell r="B140" t="str">
            <v>174044724</v>
          </cell>
          <cell r="C140" t="str">
            <v>ESPINOZA LARA CARLA PAULINA</v>
          </cell>
          <cell r="D140" t="str">
            <v>Ingeniero de Contratos</v>
          </cell>
          <cell r="E140" t="str">
            <v>Prof. 4X3 12 hrs</v>
          </cell>
          <cell r="F140" t="str">
            <v>Femenino</v>
          </cell>
          <cell r="G140" t="str">
            <v>CESPI068@CODELCO.CL</v>
          </cell>
          <cell r="H140">
            <v>36</v>
          </cell>
          <cell r="I140">
            <v>45474</v>
          </cell>
          <cell r="J140">
            <v>45474</v>
          </cell>
          <cell r="K140" t="str">
            <v>#</v>
          </cell>
          <cell r="L140">
            <v>45474</v>
          </cell>
          <cell r="M140">
            <v>45474</v>
          </cell>
          <cell r="N140">
            <v>45474</v>
          </cell>
          <cell r="O140">
            <v>45474</v>
          </cell>
          <cell r="P140">
            <v>54779</v>
          </cell>
          <cell r="Q140">
            <v>45474</v>
          </cell>
          <cell r="R140">
            <v>2</v>
          </cell>
          <cell r="S140">
            <v>45474</v>
          </cell>
          <cell r="T140" t="str">
            <v>ORQUERA VARGAS DANNY CHRISTIAN</v>
          </cell>
          <cell r="U140" t="str">
            <v>DORQU001@CODELCO.CL</v>
          </cell>
          <cell r="V140" t="str">
            <v>Gerencia de Administración</v>
          </cell>
          <cell r="W140" t="str">
            <v>Direccion de Abastecimientos</v>
          </cell>
          <cell r="X140" t="str">
            <v>Contratos</v>
          </cell>
          <cell r="Y140" t="str">
            <v>Profesional</v>
          </cell>
          <cell r="Z140" t="str">
            <v>Indefinido</v>
          </cell>
        </row>
        <row r="141">
          <cell r="A141" t="str">
            <v>304652</v>
          </cell>
          <cell r="B141" t="str">
            <v>173674473</v>
          </cell>
          <cell r="C141" t="str">
            <v>DÍAZ VILLALOBOS LEIDY</v>
          </cell>
          <cell r="D141" t="str">
            <v>Ingeniero de Gestión de Riesgos</v>
          </cell>
          <cell r="E141" t="str">
            <v>Prof. 4X3 12 hrs</v>
          </cell>
          <cell r="F141" t="str">
            <v>Femenino</v>
          </cell>
          <cell r="G141" t="str">
            <v>LDIAZ061@CODELCO.CL</v>
          </cell>
          <cell r="H141">
            <v>36</v>
          </cell>
          <cell r="I141">
            <v>45597</v>
          </cell>
          <cell r="J141">
            <v>45601</v>
          </cell>
          <cell r="K141" t="str">
            <v>11</v>
          </cell>
          <cell r="L141">
            <v>45572</v>
          </cell>
          <cell r="M141">
            <v>45597</v>
          </cell>
          <cell r="N141">
            <v>45597</v>
          </cell>
          <cell r="O141">
            <v>45572</v>
          </cell>
          <cell r="P141">
            <v>54809</v>
          </cell>
          <cell r="Q141">
            <v>45572</v>
          </cell>
          <cell r="R141">
            <v>2</v>
          </cell>
          <cell r="S141">
            <v>45597</v>
          </cell>
          <cell r="T141" t="str">
            <v>MOLGAS ZEPEDA MARCOS BENJAMIN</v>
          </cell>
          <cell r="U141" t="str">
            <v>MMOLG001@CODELCO.CL</v>
          </cell>
          <cell r="V141" t="str">
            <v>Gerencia de Seguridad y Salud Ocup.</v>
          </cell>
          <cell r="W141" t="str">
            <v>Direccion de Seguridad</v>
          </cell>
          <cell r="X141" t="str">
            <v>Direccion de Seguridad</v>
          </cell>
          <cell r="Y141" t="str">
            <v>Profesional</v>
          </cell>
          <cell r="Z141" t="str">
            <v>Indefinido</v>
          </cell>
        </row>
        <row r="142">
          <cell r="A142" t="str">
            <v>304668</v>
          </cell>
          <cell r="B142" t="str">
            <v>015982103K</v>
          </cell>
          <cell r="C142" t="str">
            <v>SORIA SANDON ARIEL AGUSTIN</v>
          </cell>
          <cell r="D142" t="str">
            <v>Ingeniero Moncon/Plataforma</v>
          </cell>
          <cell r="E142" t="str">
            <v>Oper. 7X7 12 Hrs TAB A05</v>
          </cell>
          <cell r="F142" t="str">
            <v>Masculino</v>
          </cell>
          <cell r="G142" t="str">
            <v>ASORI001@CODELCO.CL</v>
          </cell>
          <cell r="H142">
            <v>41</v>
          </cell>
          <cell r="I142">
            <v>45572</v>
          </cell>
          <cell r="J142">
            <v>45572</v>
          </cell>
          <cell r="K142" t="str">
            <v>8</v>
          </cell>
          <cell r="L142">
            <v>45572</v>
          </cell>
          <cell r="M142">
            <v>45572</v>
          </cell>
          <cell r="N142">
            <v>45572</v>
          </cell>
          <cell r="O142">
            <v>45572</v>
          </cell>
          <cell r="P142">
            <v>54828</v>
          </cell>
          <cell r="Q142">
            <v>45572</v>
          </cell>
          <cell r="R142">
            <v>2</v>
          </cell>
          <cell r="S142">
            <v>45572</v>
          </cell>
          <cell r="T142" t="str">
            <v>HENRIQUEZ RIVAS JOSE MAURICIO</v>
          </cell>
          <cell r="U142" t="str">
            <v>JHENR027@CODELCO.CL</v>
          </cell>
          <cell r="V142" t="str">
            <v>Gerencia de Mantenimiento</v>
          </cell>
          <cell r="W142" t="str">
            <v>Superintendencia de Confiabilidad</v>
          </cell>
          <cell r="X142" t="str">
            <v>Superintendencia de Confiabilidad</v>
          </cell>
          <cell r="Y142" t="str">
            <v>Profesional</v>
          </cell>
          <cell r="Z142" t="str">
            <v>Indefinido</v>
          </cell>
        </row>
        <row r="143">
          <cell r="A143" t="str">
            <v>304687</v>
          </cell>
          <cell r="B143" t="str">
            <v>180119736</v>
          </cell>
          <cell r="C143" t="str">
            <v>ESCOBAR ALFARO CLAUDIA</v>
          </cell>
          <cell r="D143" t="str">
            <v>Ingeniero Especialista Control y Gestión</v>
          </cell>
          <cell r="E143" t="str">
            <v>Prof. 4X3 12 hrs</v>
          </cell>
          <cell r="F143" t="str">
            <v>Femenino</v>
          </cell>
          <cell r="G143" t="str">
            <v>CESCO047@CODELCO.CL</v>
          </cell>
          <cell r="H143">
            <v>34</v>
          </cell>
          <cell r="I143">
            <v>45579</v>
          </cell>
          <cell r="J143">
            <v>45579</v>
          </cell>
          <cell r="K143" t="str">
            <v>#</v>
          </cell>
          <cell r="L143">
            <v>45579</v>
          </cell>
          <cell r="M143">
            <v>45579</v>
          </cell>
          <cell r="N143">
            <v>45579</v>
          </cell>
          <cell r="O143">
            <v>45579</v>
          </cell>
          <cell r="P143">
            <v>55679</v>
          </cell>
          <cell r="Q143">
            <v>45579</v>
          </cell>
          <cell r="R143">
            <v>2</v>
          </cell>
          <cell r="S143">
            <v>45579</v>
          </cell>
          <cell r="T143" t="str">
            <v>NEUT VILLANUEVA FRANCISCA GABRIELA</v>
          </cell>
          <cell r="U143" t="str">
            <v>FNEUT001@CODELCO.CL</v>
          </cell>
          <cell r="V143" t="str">
            <v>Gerencia de Seguridad y Salud Ocup.</v>
          </cell>
          <cell r="W143" t="str">
            <v>Estadistica y Analisis de Gestion</v>
          </cell>
          <cell r="X143" t="str">
            <v>Estadistica y Analisis de Gestion</v>
          </cell>
          <cell r="Y143" t="str">
            <v>Profesional</v>
          </cell>
          <cell r="Z143" t="str">
            <v>Indefinido</v>
          </cell>
        </row>
        <row r="144">
          <cell r="A144" t="str">
            <v>304710</v>
          </cell>
          <cell r="B144" t="str">
            <v>017313231K</v>
          </cell>
          <cell r="C144" t="str">
            <v>POLANCO HIDALGO ERIKA SOLANGE</v>
          </cell>
          <cell r="D144" t="str">
            <v>Ingeniero Planificación Mina</v>
          </cell>
          <cell r="E144" t="str">
            <v>Oper. 7X7 12 Hrs TAB A05</v>
          </cell>
          <cell r="F144" t="str">
            <v>Femenino</v>
          </cell>
          <cell r="G144" t="str">
            <v>EPOLA003@CODELCO.CL</v>
          </cell>
          <cell r="H144">
            <v>36</v>
          </cell>
          <cell r="I144">
            <v>45600</v>
          </cell>
          <cell r="J144">
            <v>45600</v>
          </cell>
          <cell r="K144" t="str">
            <v>#</v>
          </cell>
          <cell r="L144">
            <v>46054</v>
          </cell>
          <cell r="M144">
            <v>45600</v>
          </cell>
          <cell r="N144">
            <v>45600</v>
          </cell>
          <cell r="O144">
            <v>45600</v>
          </cell>
          <cell r="P144">
            <v>54778</v>
          </cell>
          <cell r="Q144">
            <v>45600</v>
          </cell>
          <cell r="R144">
            <v>2</v>
          </cell>
          <cell r="S144">
            <v>45600</v>
          </cell>
          <cell r="T144" t="str">
            <v>CAFFARENA BARCENILLA FELIPE ALBERTO</v>
          </cell>
          <cell r="U144" t="str">
            <v>FCAFFARE@CODELCO.CL</v>
          </cell>
          <cell r="V144" t="str">
            <v>Gerencia de Recursos Mineros y Desarr</v>
          </cell>
          <cell r="W144" t="str">
            <v>Superintendencia Planificacion Minera</v>
          </cell>
          <cell r="X144" t="str">
            <v>Planificacion Mina Corto Plazo</v>
          </cell>
          <cell r="Y144" t="str">
            <v>Profesional</v>
          </cell>
          <cell r="Z144" t="str">
            <v>Indefinido</v>
          </cell>
        </row>
        <row r="145">
          <cell r="A145" t="str">
            <v>304876</v>
          </cell>
          <cell r="B145" t="str">
            <v>162443445</v>
          </cell>
          <cell r="C145" t="str">
            <v>DIAZ RODRIGUEZ RAUL</v>
          </cell>
          <cell r="D145" t="str">
            <v>Geólogo</v>
          </cell>
          <cell r="E145" t="str">
            <v>Prof. 4X3 12 hrs</v>
          </cell>
          <cell r="F145" t="str">
            <v>Masculino</v>
          </cell>
          <cell r="G145" t="str">
            <v>RDIAZ076@CODELCO.CL</v>
          </cell>
          <cell r="H145">
            <v>41</v>
          </cell>
          <cell r="I145">
            <v>45628</v>
          </cell>
          <cell r="J145">
            <v>45628</v>
          </cell>
          <cell r="K145" t="str">
            <v>7</v>
          </cell>
          <cell r="L145">
            <v>45628</v>
          </cell>
          <cell r="M145">
            <v>45628</v>
          </cell>
          <cell r="N145">
            <v>45628</v>
          </cell>
          <cell r="O145">
            <v>45628</v>
          </cell>
          <cell r="P145">
            <v>55002</v>
          </cell>
          <cell r="Q145">
            <v>45628</v>
          </cell>
          <cell r="R145">
            <v>2</v>
          </cell>
          <cell r="S145">
            <v>45628</v>
          </cell>
          <cell r="T145" t="str">
            <v>VARGAS ENCINA CAROLINA ALEJANDRA</v>
          </cell>
          <cell r="U145" t="str">
            <v>CVARG029@CODELCO.CL</v>
          </cell>
          <cell r="V145" t="str">
            <v>Gerencia de Recursos Mineros y Desarr</v>
          </cell>
          <cell r="W145" t="str">
            <v>Superintendencia de Geotecnia</v>
          </cell>
          <cell r="X145" t="str">
            <v>Superintendencia de Geotecnia</v>
          </cell>
          <cell r="Y145" t="str">
            <v>Profesional</v>
          </cell>
          <cell r="Z145" t="str">
            <v>Indefinido</v>
          </cell>
        </row>
        <row r="146">
          <cell r="A146" t="str">
            <v>304877</v>
          </cell>
          <cell r="B146" t="str">
            <v>019353001K</v>
          </cell>
          <cell r="C146" t="str">
            <v>BUGUEÑO CAMPILLAY PATRICIA MARCELA</v>
          </cell>
          <cell r="D146" t="str">
            <v>Ingeniero Gestion Procesos Mina</v>
          </cell>
          <cell r="E146" t="str">
            <v>Oper. 7X7 12 Hrs TAB A05</v>
          </cell>
          <cell r="F146" t="str">
            <v>Femenino</v>
          </cell>
          <cell r="G146" t="str">
            <v>PBUGU007@CODELCO.CL</v>
          </cell>
          <cell r="H146">
            <v>30</v>
          </cell>
          <cell r="I146">
            <v>45628</v>
          </cell>
          <cell r="J146">
            <v>45992</v>
          </cell>
          <cell r="K146" t="str">
            <v>7</v>
          </cell>
          <cell r="L146">
            <v>45992</v>
          </cell>
          <cell r="M146">
            <v>45628</v>
          </cell>
          <cell r="N146">
            <v>45992</v>
          </cell>
          <cell r="O146">
            <v>45628</v>
          </cell>
          <cell r="P146">
            <v>57103</v>
          </cell>
          <cell r="Q146">
            <v>45628</v>
          </cell>
          <cell r="R146">
            <v>2</v>
          </cell>
          <cell r="S146">
            <v>45628</v>
          </cell>
          <cell r="T146" t="str">
            <v>SARMIENTO RODRIGUEZ MARCOS</v>
          </cell>
          <cell r="U146" t="str">
            <v>MSARM001@CODELCO.CL</v>
          </cell>
          <cell r="V146" t="str">
            <v>Gerencia de Operaciones</v>
          </cell>
          <cell r="W146" t="str">
            <v>Sptcia. Operacion Mina</v>
          </cell>
          <cell r="X146" t="str">
            <v>Sptcia. Operacion Mina</v>
          </cell>
          <cell r="Y146" t="str">
            <v>Profesional</v>
          </cell>
          <cell r="Z146" t="str">
            <v>Indefinido</v>
          </cell>
        </row>
        <row r="147">
          <cell r="A147" t="str">
            <v>304879</v>
          </cell>
          <cell r="B147" t="str">
            <v>201084261</v>
          </cell>
          <cell r="C147" t="str">
            <v>ROTHEN VELIZ CAROLINA</v>
          </cell>
          <cell r="D147" t="str">
            <v>Ingeniero Confiabilidad</v>
          </cell>
          <cell r="E147" t="str">
            <v>Prof. 4X3 12 hrs</v>
          </cell>
          <cell r="F147" t="str">
            <v>Femenino</v>
          </cell>
          <cell r="G147" t="str">
            <v>CROTH002@CODELCO.CL</v>
          </cell>
          <cell r="H147">
            <v>27</v>
          </cell>
          <cell r="I147">
            <v>45628</v>
          </cell>
          <cell r="J147">
            <v>45992</v>
          </cell>
          <cell r="K147" t="str">
            <v>#</v>
          </cell>
          <cell r="L147">
            <v>45992</v>
          </cell>
          <cell r="M147">
            <v>45628</v>
          </cell>
          <cell r="N147">
            <v>45992</v>
          </cell>
          <cell r="O147">
            <v>45628</v>
          </cell>
          <cell r="P147">
            <v>58160</v>
          </cell>
          <cell r="Q147">
            <v>45628</v>
          </cell>
          <cell r="R147">
            <v>2</v>
          </cell>
          <cell r="S147">
            <v>45628</v>
          </cell>
          <cell r="T147" t="str">
            <v>HEMMELMANN FUENTES NATHALIE</v>
          </cell>
          <cell r="U147" t="str">
            <v>NHEMM001@CODELCO.CL</v>
          </cell>
          <cell r="V147" t="str">
            <v>Gerencia de Mantenimiento</v>
          </cell>
          <cell r="W147" t="str">
            <v>Superintendencia de Confiabilidad</v>
          </cell>
          <cell r="X147" t="str">
            <v>Superintendencia de Confiabilidad</v>
          </cell>
          <cell r="Y147" t="str">
            <v>Profesional</v>
          </cell>
          <cell r="Z147" t="str">
            <v>Indefinido</v>
          </cell>
        </row>
        <row r="148">
          <cell r="A148" t="str">
            <v>304915</v>
          </cell>
          <cell r="B148" t="str">
            <v>166143845</v>
          </cell>
          <cell r="C148" t="str">
            <v>VEAS TELLEZ CAROL ANDREA</v>
          </cell>
          <cell r="D148" t="str">
            <v>Ingeniero de Contratos</v>
          </cell>
          <cell r="E148" t="str">
            <v>Prof. 4X3 12 hrs</v>
          </cell>
          <cell r="F148" t="str">
            <v>Femenino</v>
          </cell>
          <cell r="G148" t="str">
            <v>CVEAS003@CODELCO.CL</v>
          </cell>
          <cell r="H148">
            <v>39</v>
          </cell>
          <cell r="I148">
            <v>45635</v>
          </cell>
          <cell r="J148">
            <v>45635</v>
          </cell>
          <cell r="K148" t="str">
            <v>9</v>
          </cell>
          <cell r="L148">
            <v>45635</v>
          </cell>
          <cell r="M148">
            <v>45635</v>
          </cell>
          <cell r="N148">
            <v>45635</v>
          </cell>
          <cell r="O148">
            <v>45635</v>
          </cell>
          <cell r="P148">
            <v>54000</v>
          </cell>
          <cell r="Q148">
            <v>45635</v>
          </cell>
          <cell r="R148">
            <v>2</v>
          </cell>
          <cell r="S148">
            <v>45635</v>
          </cell>
          <cell r="T148" t="str">
            <v>ORQUERA VARGAS DANNY CHRISTIAN</v>
          </cell>
          <cell r="U148" t="str">
            <v>DORQU001@CODELCO.CL</v>
          </cell>
          <cell r="V148" t="str">
            <v>Gerencia de Administración</v>
          </cell>
          <cell r="W148" t="str">
            <v>Direccion de Abastecimientos</v>
          </cell>
          <cell r="X148" t="str">
            <v>Contratos</v>
          </cell>
          <cell r="Y148" t="str">
            <v>Profesional</v>
          </cell>
          <cell r="Z148" t="str">
            <v>Indefinido</v>
          </cell>
        </row>
        <row r="149">
          <cell r="A149" t="str">
            <v>304936</v>
          </cell>
          <cell r="B149" t="str">
            <v>188134912</v>
          </cell>
          <cell r="C149" t="str">
            <v>CRUZAT MORENO CAROLAINE</v>
          </cell>
          <cell r="D149" t="str">
            <v>Ingeniero Planif. Mantenimiento</v>
          </cell>
          <cell r="E149" t="str">
            <v>Prof. 4X3 12 hrs</v>
          </cell>
          <cell r="F149" t="str">
            <v>Femenino</v>
          </cell>
          <cell r="G149" t="str">
            <v>CCRUZ025@CODELCO.CL</v>
          </cell>
          <cell r="H149">
            <v>32</v>
          </cell>
          <cell r="I149">
            <v>45635</v>
          </cell>
          <cell r="J149">
            <v>45635</v>
          </cell>
          <cell r="K149" t="str">
            <v>8</v>
          </cell>
          <cell r="L149">
            <v>45635</v>
          </cell>
          <cell r="M149">
            <v>45635</v>
          </cell>
          <cell r="N149">
            <v>45635</v>
          </cell>
          <cell r="O149">
            <v>45635</v>
          </cell>
          <cell r="P149">
            <v>56402</v>
          </cell>
          <cell r="Q149">
            <v>45635</v>
          </cell>
          <cell r="R149">
            <v>2</v>
          </cell>
          <cell r="S149">
            <v>45635</v>
          </cell>
          <cell r="T149" t="str">
            <v>DONOSO NOGALES PEDRO ARNOLDO</v>
          </cell>
          <cell r="U149" t="str">
            <v>PDONO007@CODELCO.CL</v>
          </cell>
          <cell r="V149" t="str">
            <v>Gerencia de Mantenimiento</v>
          </cell>
          <cell r="W149" t="str">
            <v>Sptcia. Planificacion Mantenimiento</v>
          </cell>
          <cell r="X149" t="str">
            <v>Sptcia. Planificacion Mantenimiento</v>
          </cell>
          <cell r="Y149" t="str">
            <v>Profesional</v>
          </cell>
          <cell r="Z149" t="str">
            <v>Indefinido</v>
          </cell>
        </row>
        <row r="150">
          <cell r="A150" t="str">
            <v>304949</v>
          </cell>
          <cell r="B150" t="str">
            <v>118183223</v>
          </cell>
          <cell r="C150" t="str">
            <v>ALCOTA TORO MARCELA</v>
          </cell>
          <cell r="D150" t="str">
            <v>Experto Especialista Prev. Riesgos</v>
          </cell>
          <cell r="E150" t="str">
            <v>Prof. 4X3 12 hrs</v>
          </cell>
          <cell r="F150" t="str">
            <v>Femenino</v>
          </cell>
          <cell r="G150" t="str">
            <v>MALCO006@CODELCO.CL</v>
          </cell>
          <cell r="H150">
            <v>55</v>
          </cell>
          <cell r="I150">
            <v>45643</v>
          </cell>
          <cell r="J150">
            <v>45643</v>
          </cell>
          <cell r="K150" t="str">
            <v>9</v>
          </cell>
          <cell r="L150">
            <v>45643</v>
          </cell>
          <cell r="M150">
            <v>45643</v>
          </cell>
          <cell r="N150">
            <v>45643</v>
          </cell>
          <cell r="O150">
            <v>45643</v>
          </cell>
          <cell r="P150">
            <v>47878</v>
          </cell>
          <cell r="Q150">
            <v>45643</v>
          </cell>
          <cell r="R150">
            <v>1</v>
          </cell>
          <cell r="S150">
            <v>45643</v>
          </cell>
          <cell r="T150" t="str">
            <v>MOLGAS ZEPEDA MARCOS BENJAMIN</v>
          </cell>
          <cell r="U150" t="str">
            <v>MMOLG001@CODELCO.CL</v>
          </cell>
          <cell r="V150" t="str">
            <v>Gerencia de Seguridad y Salud Ocup.</v>
          </cell>
          <cell r="W150" t="str">
            <v>Direccion de Seguridad</v>
          </cell>
          <cell r="X150" t="str">
            <v>Direccion de Seguridad</v>
          </cell>
          <cell r="Y150" t="str">
            <v>Profesional</v>
          </cell>
          <cell r="Z150" t="str">
            <v>Indefinido</v>
          </cell>
        </row>
        <row r="151">
          <cell r="A151" t="str">
            <v>304956</v>
          </cell>
          <cell r="B151" t="str">
            <v>187662966</v>
          </cell>
          <cell r="C151" t="str">
            <v>FIGUEROA ORELLANA FERNANDA JOSÉ</v>
          </cell>
          <cell r="D151" t="str">
            <v>Ingeniero Instrucción Mina</v>
          </cell>
          <cell r="E151" t="str">
            <v>Prof. 4X3 12 hrs</v>
          </cell>
          <cell r="F151" t="str">
            <v>Femenino</v>
          </cell>
          <cell r="G151" t="str">
            <v>FFIGU010@CODELCO.CL</v>
          </cell>
          <cell r="H151">
            <v>32</v>
          </cell>
          <cell r="I151">
            <v>45642</v>
          </cell>
          <cell r="J151">
            <v>45992</v>
          </cell>
          <cell r="K151" t="str">
            <v>#</v>
          </cell>
          <cell r="L151">
            <v>45992</v>
          </cell>
          <cell r="M151">
            <v>45642</v>
          </cell>
          <cell r="N151">
            <v>45992</v>
          </cell>
          <cell r="O151">
            <v>45642</v>
          </cell>
          <cell r="P151">
            <v>56350</v>
          </cell>
          <cell r="Q151">
            <v>45642</v>
          </cell>
          <cell r="R151">
            <v>2</v>
          </cell>
          <cell r="S151">
            <v>45638</v>
          </cell>
          <cell r="T151" t="str">
            <v>VASQUEZ FLECK FRANCISCO JAVIER</v>
          </cell>
          <cell r="U151" t="str">
            <v>FVASQ009@CODELCO.CL</v>
          </cell>
          <cell r="V151" t="str">
            <v>Gerencia de Operaciones</v>
          </cell>
          <cell r="W151" t="str">
            <v>Sptcia. Ingenieria y Gestion Mina</v>
          </cell>
          <cell r="X151" t="str">
            <v>Sptcia. Ingenieria y Gestion Mina</v>
          </cell>
          <cell r="Y151" t="str">
            <v>Profesional</v>
          </cell>
          <cell r="Z151" t="str">
            <v>Indefinido</v>
          </cell>
        </row>
        <row r="152">
          <cell r="A152" t="str">
            <v>304959</v>
          </cell>
          <cell r="B152" t="str">
            <v>206131756</v>
          </cell>
          <cell r="C152" t="str">
            <v>ZUMELZU BRAVO MARYLIN</v>
          </cell>
          <cell r="D152" t="str">
            <v>Ingeniero Turno Operaciones Mina</v>
          </cell>
          <cell r="E152" t="str">
            <v>Oper. 7X7 12 Hrs TAB A06</v>
          </cell>
          <cell r="F152" t="str">
            <v>Femenino</v>
          </cell>
          <cell r="G152" t="str">
            <v>MZUME001@CODELCO.CL</v>
          </cell>
          <cell r="H152">
            <v>25</v>
          </cell>
          <cell r="I152">
            <v>45642</v>
          </cell>
          <cell r="J152">
            <v>45992</v>
          </cell>
          <cell r="K152" t="str">
            <v>7</v>
          </cell>
          <cell r="L152">
            <v>45992</v>
          </cell>
          <cell r="M152">
            <v>45642</v>
          </cell>
          <cell r="N152">
            <v>45992</v>
          </cell>
          <cell r="O152">
            <v>45642</v>
          </cell>
          <cell r="P152">
            <v>58824</v>
          </cell>
          <cell r="Q152">
            <v>45642</v>
          </cell>
          <cell r="R152">
            <v>2</v>
          </cell>
          <cell r="S152">
            <v>45642</v>
          </cell>
          <cell r="T152" t="str">
            <v>EVANS VERGARA CARLO ANDRES</v>
          </cell>
          <cell r="U152" t="str">
            <v>CEVANS@CODELCO.CL</v>
          </cell>
          <cell r="V152" t="str">
            <v>Gerencia de Operaciones</v>
          </cell>
          <cell r="W152" t="str">
            <v>Sptcia. Operacion Mina</v>
          </cell>
          <cell r="X152" t="str">
            <v>Sptcia. Operacion Mina</v>
          </cell>
          <cell r="Y152" t="str">
            <v>Profesional</v>
          </cell>
          <cell r="Z152" t="str">
            <v>Indefinido</v>
          </cell>
        </row>
        <row r="153">
          <cell r="A153" t="str">
            <v>305009</v>
          </cell>
          <cell r="B153" t="str">
            <v>018125341K</v>
          </cell>
          <cell r="C153" t="str">
            <v>LOPEZ LOPEZ KATHERINE</v>
          </cell>
          <cell r="D153" t="str">
            <v>Operador Mina</v>
          </cell>
          <cell r="E153" t="str">
            <v>Oper. 7X7 12 Hrs TAB G02</v>
          </cell>
          <cell r="F153" t="str">
            <v>Femenino</v>
          </cell>
          <cell r="G153" t="str">
            <v>KLOPE011@CODELCO.CL</v>
          </cell>
          <cell r="H153">
            <v>33</v>
          </cell>
          <cell r="I153">
            <v>45992</v>
          </cell>
          <cell r="J153">
            <v>45642</v>
          </cell>
          <cell r="K153" t="str">
            <v>#</v>
          </cell>
          <cell r="L153">
            <v>45642</v>
          </cell>
          <cell r="M153">
            <v>45992</v>
          </cell>
          <cell r="N153">
            <v>45992</v>
          </cell>
          <cell r="O153">
            <v>45992</v>
          </cell>
          <cell r="P153">
            <v>55656</v>
          </cell>
          <cell r="Q153">
            <v>45642</v>
          </cell>
          <cell r="R153">
            <v>1</v>
          </cell>
          <cell r="S153">
            <v>45992</v>
          </cell>
          <cell r="T153" t="str">
            <v>ICETA BAEZA ANTONIO</v>
          </cell>
          <cell r="U153" t="str">
            <v>AICETA@CODELCO.CL</v>
          </cell>
          <cell r="V153" t="str">
            <v>Gerencia de Operaciones</v>
          </cell>
          <cell r="W153" t="str">
            <v>Sptcia. Ingenieria y Gestion Mina</v>
          </cell>
          <cell r="X153" t="str">
            <v>Sptcia. Ingenieria y Gestion Mina</v>
          </cell>
          <cell r="Y153" t="str">
            <v>Operativo</v>
          </cell>
          <cell r="Z153" t="str">
            <v>Indefinido</v>
          </cell>
        </row>
        <row r="154">
          <cell r="A154" t="str">
            <v>305023</v>
          </cell>
          <cell r="B154" t="str">
            <v>191159616</v>
          </cell>
          <cell r="C154" t="str">
            <v>VIDAL SAN MARTIN VALERIA</v>
          </cell>
          <cell r="D154" t="str">
            <v>Ingeniero de Excelencia Operacional</v>
          </cell>
          <cell r="E154" t="str">
            <v>Prof. 4X3 12 hrs</v>
          </cell>
          <cell r="F154" t="str">
            <v>Femenino</v>
          </cell>
          <cell r="G154" t="str">
            <v>VVIDA005@CODELCO.CL</v>
          </cell>
          <cell r="H154">
            <v>31</v>
          </cell>
          <cell r="I154">
            <v>45649</v>
          </cell>
          <cell r="J154">
            <v>45649</v>
          </cell>
          <cell r="K154" t="str">
            <v>#</v>
          </cell>
          <cell r="L154">
            <v>45649</v>
          </cell>
          <cell r="M154">
            <v>45649</v>
          </cell>
          <cell r="N154">
            <v>45649</v>
          </cell>
          <cell r="O154">
            <v>45649</v>
          </cell>
          <cell r="P154">
            <v>47878</v>
          </cell>
          <cell r="Q154">
            <v>45649</v>
          </cell>
          <cell r="R154">
            <v>1</v>
          </cell>
          <cell r="S154">
            <v>45649</v>
          </cell>
          <cell r="T154" t="str">
            <v>VENEGAS MILLONES GABRIELA PATRICIA</v>
          </cell>
          <cell r="U154" t="str">
            <v>GVENE001@CODELCO.CL</v>
          </cell>
          <cell r="V154" t="str">
            <v>Direccion de Excelencia Operacional</v>
          </cell>
          <cell r="W154" t="str">
            <v>Sin asignar</v>
          </cell>
          <cell r="X154" t="str">
            <v>Direccion de Excelencia Operacional</v>
          </cell>
          <cell r="Y154" t="str">
            <v>Profesional</v>
          </cell>
          <cell r="Z154" t="str">
            <v>Indefinido</v>
          </cell>
        </row>
        <row r="155">
          <cell r="A155" t="str">
            <v>305099</v>
          </cell>
          <cell r="B155" t="str">
            <v>137595605</v>
          </cell>
          <cell r="C155" t="str">
            <v>COLLAO FRE HECTOR</v>
          </cell>
          <cell r="D155" t="str">
            <v>Supdte. Mtto. Mina</v>
          </cell>
          <cell r="E155" t="str">
            <v>Prof. 4X3 12 hrs</v>
          </cell>
          <cell r="F155" t="str">
            <v>Masculino</v>
          </cell>
          <cell r="G155" t="str">
            <v>HCOLL004@CODELCO.CL</v>
          </cell>
          <cell r="H155">
            <v>46</v>
          </cell>
          <cell r="I155">
            <v>45663</v>
          </cell>
          <cell r="J155">
            <v>45663</v>
          </cell>
          <cell r="K155" t="str">
            <v>4</v>
          </cell>
          <cell r="L155">
            <v>45663</v>
          </cell>
          <cell r="M155">
            <v>45663</v>
          </cell>
          <cell r="N155">
            <v>45663</v>
          </cell>
          <cell r="O155">
            <v>45663</v>
          </cell>
          <cell r="P155">
            <v>52993</v>
          </cell>
          <cell r="Q155">
            <v>45663</v>
          </cell>
          <cell r="R155">
            <v>1</v>
          </cell>
          <cell r="S155">
            <v>45663</v>
          </cell>
          <cell r="T155" t="str">
            <v>Sin asignar</v>
          </cell>
          <cell r="U155" t="str">
            <v>Sin asignar</v>
          </cell>
          <cell r="V155" t="str">
            <v>Gerencia de Mantenimiento</v>
          </cell>
          <cell r="W155" t="str">
            <v>Sptcia. Mtto. Mina</v>
          </cell>
          <cell r="X155" t="str">
            <v>Sptcia. Mtto. Mina</v>
          </cell>
          <cell r="Y155" t="str">
            <v>Profesional</v>
          </cell>
          <cell r="Z155" t="str">
            <v>Indefinido</v>
          </cell>
        </row>
        <row r="156">
          <cell r="A156" t="str">
            <v>305276</v>
          </cell>
          <cell r="B156" t="str">
            <v>190881431</v>
          </cell>
          <cell r="C156" t="str">
            <v>OLAVE ARÉVALO ELIZABETH</v>
          </cell>
          <cell r="D156" t="str">
            <v>Ingeniero Control Gestión</v>
          </cell>
          <cell r="E156" t="str">
            <v>Prof. 4X3 12 hrs</v>
          </cell>
          <cell r="F156" t="str">
            <v>Femenino</v>
          </cell>
          <cell r="G156" t="str">
            <v>EOLAV001@CODELCO.CL</v>
          </cell>
          <cell r="H156">
            <v>31</v>
          </cell>
          <cell r="I156">
            <v>45733</v>
          </cell>
          <cell r="J156">
            <v>45733</v>
          </cell>
          <cell r="K156" t="str">
            <v>8</v>
          </cell>
          <cell r="L156">
            <v>45733</v>
          </cell>
          <cell r="M156">
            <v>45733</v>
          </cell>
          <cell r="N156">
            <v>45733</v>
          </cell>
          <cell r="O156">
            <v>45733</v>
          </cell>
          <cell r="P156">
            <v>56703</v>
          </cell>
          <cell r="Q156">
            <v>45733</v>
          </cell>
          <cell r="R156">
            <v>1</v>
          </cell>
          <cell r="S156">
            <v>45733</v>
          </cell>
          <cell r="T156" t="str">
            <v>LUENGO JIMENEZ VICTOR ALFONSO</v>
          </cell>
          <cell r="U156" t="str">
            <v>VLUEN001@CODELCO.CL</v>
          </cell>
          <cell r="V156" t="str">
            <v>Gerencia de Administración</v>
          </cell>
          <cell r="W156" t="str">
            <v>Direccion Ctrl. Gestion y Presupuesto</v>
          </cell>
          <cell r="X156" t="str">
            <v>GOP Ctrl. Gestion</v>
          </cell>
          <cell r="Y156" t="str">
            <v>Profesional</v>
          </cell>
          <cell r="Z156" t="str">
            <v>Indefinido</v>
          </cell>
        </row>
        <row r="157">
          <cell r="A157" t="str">
            <v>305277</v>
          </cell>
          <cell r="B157" t="str">
            <v>128423400</v>
          </cell>
          <cell r="C157" t="str">
            <v>ORTEGA ORTUYA CARLOS</v>
          </cell>
          <cell r="D157" t="str">
            <v>Ingeniero Turno Operaciones Mina</v>
          </cell>
          <cell r="E157" t="str">
            <v>Oper. 7X7 12 Hrs TAB G02</v>
          </cell>
          <cell r="F157" t="str">
            <v>Masculino</v>
          </cell>
          <cell r="G157" t="str">
            <v>CORTE009@CODELCO.CL</v>
          </cell>
          <cell r="H157">
            <v>50</v>
          </cell>
          <cell r="I157">
            <v>45733</v>
          </cell>
          <cell r="J157">
            <v>45733</v>
          </cell>
          <cell r="K157" t="str">
            <v>8</v>
          </cell>
          <cell r="L157">
            <v>45733</v>
          </cell>
          <cell r="M157">
            <v>45733</v>
          </cell>
          <cell r="N157">
            <v>45733</v>
          </cell>
          <cell r="O157">
            <v>45733</v>
          </cell>
          <cell r="P157">
            <v>51407</v>
          </cell>
          <cell r="Q157">
            <v>45733</v>
          </cell>
          <cell r="R157">
            <v>1</v>
          </cell>
          <cell r="S157">
            <v>45733</v>
          </cell>
          <cell r="T157" t="str">
            <v>EVANS VERGARA CARLO ANDRES</v>
          </cell>
          <cell r="U157" t="str">
            <v>CEVANS@CODELCO.CL</v>
          </cell>
          <cell r="V157" t="str">
            <v>Gerencia de Operaciones</v>
          </cell>
          <cell r="W157" t="str">
            <v>Sptcia. Operacion Mina</v>
          </cell>
          <cell r="X157" t="str">
            <v>Sptcia. Operacion Mina</v>
          </cell>
          <cell r="Y157" t="str">
            <v>Profesional</v>
          </cell>
          <cell r="Z157" t="str">
            <v>Indefinido</v>
          </cell>
        </row>
        <row r="158">
          <cell r="A158" t="str">
            <v>305318</v>
          </cell>
          <cell r="B158" t="str">
            <v>018869148K</v>
          </cell>
          <cell r="C158" t="str">
            <v>LÓPEZ LUENGO MARCO</v>
          </cell>
          <cell r="D158" t="str">
            <v>Operador Mina</v>
          </cell>
          <cell r="E158" t="str">
            <v>Oper. 7X7 12 Hrs TAB G02</v>
          </cell>
          <cell r="F158" t="str">
            <v>Masculino</v>
          </cell>
          <cell r="G158" t="str">
            <v>MLOPE097@CODELCO.CL</v>
          </cell>
          <cell r="H158">
            <v>32</v>
          </cell>
          <cell r="I158">
            <v>45748</v>
          </cell>
          <cell r="J158">
            <v>45748</v>
          </cell>
          <cell r="K158" t="str">
            <v>10</v>
          </cell>
          <cell r="L158">
            <v>45748</v>
          </cell>
          <cell r="M158">
            <v>45748</v>
          </cell>
          <cell r="N158">
            <v>45748</v>
          </cell>
          <cell r="O158">
            <v>45748</v>
          </cell>
          <cell r="P158">
            <v>58260</v>
          </cell>
          <cell r="Q158">
            <v>45748</v>
          </cell>
          <cell r="R158">
            <v>1</v>
          </cell>
          <cell r="S158">
            <v>45748</v>
          </cell>
          <cell r="T158" t="str">
            <v>ORTEGA ORTUYA CARLOS</v>
          </cell>
          <cell r="U158" t="str">
            <v>CORTE009@CODELCO.CL</v>
          </cell>
          <cell r="V158" t="str">
            <v>Gerencia de Operaciones</v>
          </cell>
          <cell r="W158" t="str">
            <v>Sptcia. Operacion Mina</v>
          </cell>
          <cell r="X158" t="str">
            <v>Sptcia. Operacion Mina</v>
          </cell>
          <cell r="Y158" t="str">
            <v>Operativo</v>
          </cell>
          <cell r="Z158" t="str">
            <v>Indefinido</v>
          </cell>
        </row>
        <row r="159">
          <cell r="A159" t="str">
            <v>305323</v>
          </cell>
          <cell r="B159" t="str">
            <v>128873767</v>
          </cell>
          <cell r="C159" t="str">
            <v>QUEZADA INOSTROZA ARIEL ALEJANDRO</v>
          </cell>
          <cell r="D159" t="str">
            <v>Ingeniero/a Proyectos</v>
          </cell>
          <cell r="E159" t="str">
            <v>Prof. 4X3 12 hrs</v>
          </cell>
          <cell r="F159" t="str">
            <v>Masculino</v>
          </cell>
          <cell r="G159" t="str">
            <v>AQUEZ014@CODELCO.CL</v>
          </cell>
          <cell r="H159">
            <v>51</v>
          </cell>
          <cell r="I159">
            <v>45754</v>
          </cell>
          <cell r="J159">
            <v>45754</v>
          </cell>
          <cell r="K159" t="str">
            <v>#</v>
          </cell>
          <cell r="L159">
            <v>45754</v>
          </cell>
          <cell r="M159">
            <v>45754</v>
          </cell>
          <cell r="N159">
            <v>45754</v>
          </cell>
          <cell r="O159">
            <v>45754</v>
          </cell>
          <cell r="P159">
            <v>51103</v>
          </cell>
          <cell r="Q159">
            <v>45754</v>
          </cell>
          <cell r="R159">
            <v>1</v>
          </cell>
          <cell r="S159">
            <v>45754</v>
          </cell>
          <cell r="T159" t="str">
            <v>JARA FARIÑA JORGE GUILLERMO</v>
          </cell>
          <cell r="U159" t="str">
            <v>JJARA027@CODELCO.CL</v>
          </cell>
          <cell r="V159" t="str">
            <v>Gerencia de Administración</v>
          </cell>
          <cell r="W159" t="str">
            <v>Supte. Proyectos, Infra. y Suministros</v>
          </cell>
          <cell r="X159" t="str">
            <v>Supte. Proyectos, Infra. y Suministros</v>
          </cell>
          <cell r="Y159" t="str">
            <v>Profesional</v>
          </cell>
          <cell r="Z159" t="str">
            <v>Indefinido</v>
          </cell>
        </row>
        <row r="160">
          <cell r="A160" t="str">
            <v>305324</v>
          </cell>
          <cell r="B160" t="str">
            <v>141125524</v>
          </cell>
          <cell r="C160" t="str">
            <v>CARAYANIS ZARAZA ARISTOTELES</v>
          </cell>
          <cell r="D160" t="str">
            <v>Operador Mina</v>
          </cell>
          <cell r="E160" t="str">
            <v>Oper. 7X7 12 Hrs TAB G01</v>
          </cell>
          <cell r="F160" t="str">
            <v>Masculino</v>
          </cell>
          <cell r="G160" t="str">
            <v>ACARA002@CODELCO.CL</v>
          </cell>
          <cell r="H160">
            <v>45</v>
          </cell>
          <cell r="I160">
            <v>45748</v>
          </cell>
          <cell r="J160">
            <v>45748</v>
          </cell>
          <cell r="K160" t="str">
            <v>10</v>
          </cell>
          <cell r="L160">
            <v>45748</v>
          </cell>
          <cell r="M160">
            <v>45748</v>
          </cell>
          <cell r="N160">
            <v>45748</v>
          </cell>
          <cell r="O160">
            <v>45748</v>
          </cell>
          <cell r="P160">
            <v>53544</v>
          </cell>
          <cell r="Q160">
            <v>45748</v>
          </cell>
          <cell r="R160">
            <v>1</v>
          </cell>
          <cell r="S160">
            <v>45748</v>
          </cell>
          <cell r="T160" t="str">
            <v>ZUMELZU BRAVO MARYLIN</v>
          </cell>
          <cell r="U160" t="str">
            <v>MZUME001@CODELCO.CL</v>
          </cell>
          <cell r="V160" t="str">
            <v>Gerencia de Operaciones</v>
          </cell>
          <cell r="W160" t="str">
            <v>Sptcia. Operacion Mina</v>
          </cell>
          <cell r="X160" t="str">
            <v>Sptcia. Operacion Mina</v>
          </cell>
          <cell r="Y160" t="str">
            <v>Operativo</v>
          </cell>
          <cell r="Z160" t="str">
            <v>Indefinido</v>
          </cell>
        </row>
        <row r="161">
          <cell r="A161" t="str">
            <v>305342</v>
          </cell>
          <cell r="B161" t="str">
            <v>154474730</v>
          </cell>
          <cell r="C161" t="str">
            <v>LEIVA ROA JOSE</v>
          </cell>
          <cell r="D161" t="str">
            <v>Operador Mina</v>
          </cell>
          <cell r="E161" t="str">
            <v>Oper. 7X7 12 Hrs TAB A05</v>
          </cell>
          <cell r="F161" t="str">
            <v>Masculino</v>
          </cell>
          <cell r="G161" t="str">
            <v>JLEIV025@CODELCO.CL</v>
          </cell>
          <cell r="H161">
            <v>43</v>
          </cell>
          <cell r="I161">
            <v>45768</v>
          </cell>
          <cell r="J161">
            <v>45768</v>
          </cell>
          <cell r="K161" t="str">
            <v>#</v>
          </cell>
          <cell r="L161">
            <v>45768</v>
          </cell>
          <cell r="M161">
            <v>45768</v>
          </cell>
          <cell r="N161">
            <v>45768</v>
          </cell>
          <cell r="O161">
            <v>45768</v>
          </cell>
          <cell r="P161">
            <v>54193</v>
          </cell>
          <cell r="Q161">
            <v>45768</v>
          </cell>
          <cell r="R161">
            <v>0</v>
          </cell>
          <cell r="S161">
            <v>45768</v>
          </cell>
          <cell r="T161" t="str">
            <v>BUGUEÑO CAMPILLAY PATRICIA MARCELA</v>
          </cell>
          <cell r="U161" t="str">
            <v>PBUGU007@CODELCO.CL</v>
          </cell>
          <cell r="V161" t="str">
            <v>Gerencia de Operaciones</v>
          </cell>
          <cell r="W161" t="str">
            <v>Sptcia. Operacion Mina</v>
          </cell>
          <cell r="X161" t="str">
            <v>Sptcia. Operacion Mina</v>
          </cell>
          <cell r="Y161" t="str">
            <v>Operativo</v>
          </cell>
          <cell r="Z161" t="str">
            <v>Temporal</v>
          </cell>
        </row>
        <row r="162">
          <cell r="A162" t="str">
            <v>305372</v>
          </cell>
          <cell r="B162" t="str">
            <v>209882493</v>
          </cell>
          <cell r="C162" t="str">
            <v>CRUZ MAMANI CRISTIAN ALEJANDRO</v>
          </cell>
          <cell r="D162" t="str">
            <v>Operador Plazo Fijo</v>
          </cell>
          <cell r="E162" t="str">
            <v>Oper. 7X7 12 Hrs TAB A05</v>
          </cell>
          <cell r="F162" t="str">
            <v>Masculino</v>
          </cell>
          <cell r="G162" t="str">
            <v>CCRUZ026@CODELCO.CL</v>
          </cell>
          <cell r="H162">
            <v>24</v>
          </cell>
          <cell r="I162">
            <v>45782</v>
          </cell>
          <cell r="J162">
            <v>45782</v>
          </cell>
          <cell r="K162" t="str">
            <v>#</v>
          </cell>
          <cell r="L162">
            <v>45782</v>
          </cell>
          <cell r="M162">
            <v>45782</v>
          </cell>
          <cell r="N162">
            <v>45782</v>
          </cell>
          <cell r="O162">
            <v>45782</v>
          </cell>
          <cell r="P162">
            <v>61064</v>
          </cell>
          <cell r="Q162">
            <v>45782</v>
          </cell>
          <cell r="R162">
            <v>1</v>
          </cell>
          <cell r="S162">
            <v>45782</v>
          </cell>
          <cell r="T162" t="str">
            <v>ICETA BAEZA ANTONIO</v>
          </cell>
          <cell r="U162" t="str">
            <v>AICETA@CODELCO.CL</v>
          </cell>
          <cell r="V162" t="str">
            <v>Gerencia de Operaciones</v>
          </cell>
          <cell r="W162" t="str">
            <v>Sptcia. Operacion Mina</v>
          </cell>
          <cell r="X162" t="str">
            <v>Sptcia. Operacion Mina</v>
          </cell>
          <cell r="Y162" t="str">
            <v>Operativo</v>
          </cell>
          <cell r="Z162" t="str">
            <v>Temporal</v>
          </cell>
        </row>
        <row r="163">
          <cell r="A163" t="str">
            <v>305373</v>
          </cell>
          <cell r="B163" t="str">
            <v>185021947</v>
          </cell>
          <cell r="C163" t="str">
            <v>SALINAS SANHUEZA MACARENA</v>
          </cell>
          <cell r="D163" t="str">
            <v>Ingeniero Repuestos y Reparables</v>
          </cell>
          <cell r="E163" t="str">
            <v>Prof. 4X3 12 hrs</v>
          </cell>
          <cell r="F163" t="str">
            <v>Femenino</v>
          </cell>
          <cell r="G163" t="str">
            <v>MSALI019@CODELCO.CL</v>
          </cell>
          <cell r="H163">
            <v>33</v>
          </cell>
          <cell r="I163">
            <v>45789</v>
          </cell>
          <cell r="J163">
            <v>45789</v>
          </cell>
          <cell r="K163" t="str">
            <v>8</v>
          </cell>
          <cell r="L163">
            <v>45789</v>
          </cell>
          <cell r="M163">
            <v>45789</v>
          </cell>
          <cell r="N163">
            <v>45789</v>
          </cell>
          <cell r="O163">
            <v>45789</v>
          </cell>
          <cell r="P163">
            <v>56193</v>
          </cell>
          <cell r="Q163">
            <v>45789</v>
          </cell>
          <cell r="R163">
            <v>1</v>
          </cell>
          <cell r="S163">
            <v>45789</v>
          </cell>
          <cell r="T163" t="str">
            <v>DONOSO NOGALES PEDRO ARNOLDO</v>
          </cell>
          <cell r="U163" t="str">
            <v>PDONO007@CODELCO.CL</v>
          </cell>
          <cell r="V163" t="str">
            <v>Gerencia de Mantenimiento</v>
          </cell>
          <cell r="W163" t="str">
            <v>Sptcia. Planificacion Mantenimiento</v>
          </cell>
          <cell r="X163" t="str">
            <v>Sptcia. Planificacion Mantenimiento</v>
          </cell>
          <cell r="Y163" t="str">
            <v>Profesional</v>
          </cell>
          <cell r="Z163" t="str">
            <v>Indefinido</v>
          </cell>
        </row>
        <row r="164">
          <cell r="A164" t="str">
            <v>305414</v>
          </cell>
          <cell r="B164" t="str">
            <v>182634239</v>
          </cell>
          <cell r="C164" t="str">
            <v>MUNIZAGA GALLARDO VALENTINA</v>
          </cell>
          <cell r="D164" t="str">
            <v>Profesional de Desarrollo de Personas</v>
          </cell>
          <cell r="E164" t="str">
            <v>Prof. 4X3 12 hrs</v>
          </cell>
          <cell r="F164" t="str">
            <v>Femenino</v>
          </cell>
          <cell r="G164" t="str">
            <v>VMUNI001@CODELCO.CL</v>
          </cell>
          <cell r="H164">
            <v>33</v>
          </cell>
          <cell r="I164">
            <v>45810</v>
          </cell>
          <cell r="J164">
            <v>45810</v>
          </cell>
          <cell r="K164" t="str">
            <v>#</v>
          </cell>
          <cell r="L164">
            <v>45810</v>
          </cell>
          <cell r="M164">
            <v>45810</v>
          </cell>
          <cell r="N164">
            <v>45810</v>
          </cell>
          <cell r="O164">
            <v>45810</v>
          </cell>
          <cell r="P164">
            <v>55920</v>
          </cell>
          <cell r="Q164">
            <v>45810</v>
          </cell>
          <cell r="R164">
            <v>1</v>
          </cell>
          <cell r="S164">
            <v>45810</v>
          </cell>
          <cell r="T164" t="str">
            <v>HERRERA PIZARRO DAMARI</v>
          </cell>
          <cell r="U164" t="str">
            <v>DHERR013@CODELCO.CL</v>
          </cell>
          <cell r="V164" t="str">
            <v>Gerencia de Gestión de Personas</v>
          </cell>
          <cell r="W164" t="str">
            <v>Dirección de Desarrollo de Personas</v>
          </cell>
          <cell r="X164" t="str">
            <v>Dirección de Desarrollo de Personas</v>
          </cell>
          <cell r="Y164" t="str">
            <v>Profesional</v>
          </cell>
          <cell r="Z164" t="str">
            <v>Indefinido</v>
          </cell>
        </row>
        <row r="165">
          <cell r="A165" t="str">
            <v>305483</v>
          </cell>
          <cell r="B165" t="str">
            <v>150160464</v>
          </cell>
          <cell r="C165" t="str">
            <v>CASTILLO JOPIA REINALDO</v>
          </cell>
          <cell r="D165" t="str">
            <v>Ingeniero/a Plataforma</v>
          </cell>
          <cell r="E165" t="str">
            <v>Prof. 4X3 12 hrs</v>
          </cell>
          <cell r="F165" t="str">
            <v>Masculino</v>
          </cell>
          <cell r="G165" t="str">
            <v>RCAST070@CODELCO.CL</v>
          </cell>
          <cell r="H165">
            <v>43</v>
          </cell>
          <cell r="I165">
            <v>45845</v>
          </cell>
          <cell r="J165">
            <v>45845</v>
          </cell>
          <cell r="K165" t="str">
            <v>#</v>
          </cell>
          <cell r="L165">
            <v>45845</v>
          </cell>
          <cell r="M165">
            <v>45845</v>
          </cell>
          <cell r="N165">
            <v>45845</v>
          </cell>
          <cell r="O165">
            <v>45845</v>
          </cell>
          <cell r="P165">
            <v>54105</v>
          </cell>
          <cell r="Q165">
            <v>45845</v>
          </cell>
          <cell r="R165">
            <v>1</v>
          </cell>
          <cell r="S165">
            <v>45845</v>
          </cell>
          <cell r="T165" t="str">
            <v>HENRIQUEZ RIVAS JOSE MAURICIO</v>
          </cell>
          <cell r="U165" t="str">
            <v>JHENR027@CODELCO.CL</v>
          </cell>
          <cell r="V165" t="str">
            <v>Gerencia de Mantenimiento</v>
          </cell>
          <cell r="W165" t="str">
            <v>Superintendencia de Confiabilidad</v>
          </cell>
          <cell r="X165" t="str">
            <v>Superintendencia de Confiabilidad</v>
          </cell>
          <cell r="Y165" t="str">
            <v>Profesional</v>
          </cell>
          <cell r="Z165" t="str">
            <v>Indefinido</v>
          </cell>
        </row>
        <row r="166">
          <cell r="A166" t="str">
            <v>305484</v>
          </cell>
          <cell r="B166" t="str">
            <v>185090957</v>
          </cell>
          <cell r="C166" t="str">
            <v>RIVEROS APABLAZA MARIA JOSE</v>
          </cell>
          <cell r="D166" t="str">
            <v>Ing. Turno Mantenimiento</v>
          </cell>
          <cell r="E166" t="str">
            <v>Oper. 7X7 12 Hrs TAB G04</v>
          </cell>
          <cell r="F166" t="str">
            <v>Femenino</v>
          </cell>
          <cell r="G166" t="str">
            <v>MRIVE074@CODELCO.CL</v>
          </cell>
          <cell r="H166">
            <v>33</v>
          </cell>
          <cell r="I166">
            <v>45845</v>
          </cell>
          <cell r="J166">
            <v>45845</v>
          </cell>
          <cell r="K166" t="str">
            <v>8</v>
          </cell>
          <cell r="L166">
            <v>45845</v>
          </cell>
          <cell r="M166">
            <v>45845</v>
          </cell>
          <cell r="N166">
            <v>45845</v>
          </cell>
          <cell r="O166">
            <v>45845</v>
          </cell>
          <cell r="P166">
            <v>56110</v>
          </cell>
          <cell r="Q166">
            <v>45845</v>
          </cell>
          <cell r="R166">
            <v>1</v>
          </cell>
          <cell r="S166">
            <v>45845</v>
          </cell>
          <cell r="T166" t="str">
            <v>GUTIÉRREZ VALENCIA JAVIERA PAZ</v>
          </cell>
          <cell r="U166" t="str">
            <v>JGUTI050@CODELCO.CL</v>
          </cell>
          <cell r="V166" t="str">
            <v>Gerencia de Mantenimiento</v>
          </cell>
          <cell r="W166" t="str">
            <v>Sptcia. Mtto. Area Seca</v>
          </cell>
          <cell r="X166" t="str">
            <v>Sptcia. Mtto. Area Seca</v>
          </cell>
          <cell r="Y166" t="str">
            <v>Profesional</v>
          </cell>
          <cell r="Z166" t="str">
            <v>Indefinido</v>
          </cell>
        </row>
        <row r="167">
          <cell r="A167" t="str">
            <v>305581</v>
          </cell>
          <cell r="B167" t="str">
            <v>180421564</v>
          </cell>
          <cell r="C167" t="str">
            <v>FUENTES AVENDAÑO CAMILA</v>
          </cell>
          <cell r="D167" t="str">
            <v>Profesional de Desarrollo de Personas</v>
          </cell>
          <cell r="E167" t="str">
            <v>Prof. 4X3 12 hrs</v>
          </cell>
          <cell r="F167" t="str">
            <v>Femenino</v>
          </cell>
          <cell r="G167" t="str">
            <v>CFUEN058@CODELCO.CL</v>
          </cell>
          <cell r="H167">
            <v>34</v>
          </cell>
          <cell r="I167">
            <v>45901</v>
          </cell>
          <cell r="J167">
            <v>45901</v>
          </cell>
          <cell r="K167" t="str">
            <v>8</v>
          </cell>
          <cell r="L167">
            <v>45901</v>
          </cell>
          <cell r="M167">
            <v>45901</v>
          </cell>
          <cell r="N167">
            <v>45901</v>
          </cell>
          <cell r="O167">
            <v>45901</v>
          </cell>
          <cell r="P167">
            <v>55770</v>
          </cell>
          <cell r="Q167">
            <v>45901</v>
          </cell>
          <cell r="R167">
            <v>1</v>
          </cell>
          <cell r="S167">
            <v>45901</v>
          </cell>
          <cell r="T167" t="str">
            <v>HERRERA PIZARRO DAMARI</v>
          </cell>
          <cell r="U167" t="str">
            <v>DHERR013@CODELCO.CL</v>
          </cell>
          <cell r="V167" t="str">
            <v>Gerencia de Gestión de Personas</v>
          </cell>
          <cell r="W167" t="str">
            <v>Dirección de Desarrollo de Personas</v>
          </cell>
          <cell r="X167" t="str">
            <v>Dirección de Desarrollo de Personas</v>
          </cell>
          <cell r="Y167" t="str">
            <v>Profesional</v>
          </cell>
          <cell r="Z167" t="str">
            <v>Indefinido</v>
          </cell>
        </row>
        <row r="168">
          <cell r="A168" t="str">
            <v>305837</v>
          </cell>
          <cell r="B168" t="str">
            <v>103762758</v>
          </cell>
          <cell r="C168" t="str">
            <v>YAÑEZ ALVARADO MÓNICA LORENA</v>
          </cell>
          <cell r="D168" t="str">
            <v>Vigilante Privado</v>
          </cell>
          <cell r="E168" t="str">
            <v>Prof. 4X3 12 hrs</v>
          </cell>
          <cell r="F168" t="str">
            <v>Femenino</v>
          </cell>
          <cell r="G168" t="str">
            <v>MYANE026@CODELCO.CL</v>
          </cell>
          <cell r="H168">
            <v>54</v>
          </cell>
          <cell r="I168">
            <v>45992</v>
          </cell>
          <cell r="J168">
            <v>45992</v>
          </cell>
          <cell r="K168" t="str">
            <v>10</v>
          </cell>
          <cell r="L168">
            <v>45992</v>
          </cell>
          <cell r="M168">
            <v>45992</v>
          </cell>
          <cell r="N168">
            <v>45992</v>
          </cell>
          <cell r="O168">
            <v>45992</v>
          </cell>
          <cell r="P168">
            <v>48271</v>
          </cell>
          <cell r="Q168">
            <v>45992</v>
          </cell>
          <cell r="R168">
            <v>1</v>
          </cell>
          <cell r="S168">
            <v>45992</v>
          </cell>
          <cell r="T168" t="str">
            <v>GOMEZ LOBOS RODRIGO ANTONIO</v>
          </cell>
          <cell r="U168" t="str">
            <v>RGOME025@CODELCO.CL</v>
          </cell>
          <cell r="V168" t="str">
            <v>Gerencia de Seguridad y Salud Ocup.</v>
          </cell>
          <cell r="W168" t="str">
            <v>Proteccion Industrial</v>
          </cell>
          <cell r="X168" t="str">
            <v>Proteccion Industrial</v>
          </cell>
          <cell r="Y168" t="str">
            <v>Operativo</v>
          </cell>
          <cell r="Z168" t="str">
            <v>Indefinido</v>
          </cell>
        </row>
        <row r="169">
          <cell r="A169" t="str">
            <v>305845</v>
          </cell>
          <cell r="B169" t="str">
            <v>180867465</v>
          </cell>
          <cell r="C169" t="str">
            <v>LAZO CONTRERAS ROMINA</v>
          </cell>
          <cell r="D169" t="str">
            <v>Especialista Operativo Perforación y T.</v>
          </cell>
          <cell r="E169" t="str">
            <v>Oper. 7X7 12 Hrs TAB A05</v>
          </cell>
          <cell r="F169" t="str">
            <v>Femenino</v>
          </cell>
          <cell r="G169" t="str">
            <v>RLAZO006@CODELCO.CL</v>
          </cell>
          <cell r="H169">
            <v>34</v>
          </cell>
          <cell r="I169">
            <v>45992</v>
          </cell>
          <cell r="J169">
            <v>45992</v>
          </cell>
          <cell r="K169" t="str">
            <v>9</v>
          </cell>
          <cell r="L169">
            <v>45992</v>
          </cell>
          <cell r="M169">
            <v>45992</v>
          </cell>
          <cell r="N169">
            <v>45992</v>
          </cell>
          <cell r="O169">
            <v>45992</v>
          </cell>
          <cell r="P169">
            <v>55600</v>
          </cell>
          <cell r="Q169">
            <v>45992</v>
          </cell>
          <cell r="R169">
            <v>1</v>
          </cell>
          <cell r="S169">
            <v>45992</v>
          </cell>
          <cell r="T169" t="str">
            <v>TOBAR BUSTAMANTE ESTEFANY ANDREA</v>
          </cell>
          <cell r="U169" t="str">
            <v>ETOBA005@CODELCO.CL</v>
          </cell>
          <cell r="V169" t="str">
            <v>Gerencia de Operaciones</v>
          </cell>
          <cell r="W169" t="str">
            <v>Sptcia. Operacion Mina</v>
          </cell>
          <cell r="X169" t="str">
            <v>Sptcia. Operacion Mina</v>
          </cell>
          <cell r="Y169" t="str">
            <v>Operativo</v>
          </cell>
          <cell r="Z169" t="str">
            <v>Indefinido</v>
          </cell>
        </row>
        <row r="170">
          <cell r="A170" t="str">
            <v>305846</v>
          </cell>
          <cell r="B170" t="str">
            <v>178311816</v>
          </cell>
          <cell r="C170" t="str">
            <v>AMIGO ESPARZA GISEL TAMARA</v>
          </cell>
          <cell r="D170" t="str">
            <v>Operador Mina</v>
          </cell>
          <cell r="E170" t="str">
            <v>Oper. 7X7 12 Hrs TAB G04</v>
          </cell>
          <cell r="F170" t="str">
            <v>Femenino</v>
          </cell>
          <cell r="G170" t="str">
            <v>GAMIG001@CODELCO.CL</v>
          </cell>
          <cell r="H170">
            <v>34</v>
          </cell>
          <cell r="I170">
            <v>45992</v>
          </cell>
          <cell r="J170">
            <v>45992</v>
          </cell>
          <cell r="K170" t="str">
            <v>#</v>
          </cell>
          <cell r="L170">
            <v>45992</v>
          </cell>
          <cell r="M170">
            <v>45992</v>
          </cell>
          <cell r="N170">
            <v>45992</v>
          </cell>
          <cell r="O170">
            <v>45992</v>
          </cell>
          <cell r="P170">
            <v>55331</v>
          </cell>
          <cell r="Q170">
            <v>45992</v>
          </cell>
          <cell r="R170">
            <v>1</v>
          </cell>
          <cell r="S170">
            <v>45992</v>
          </cell>
          <cell r="T170" t="str">
            <v>EVANS VERGARA CARLO ANDRES</v>
          </cell>
          <cell r="U170" t="str">
            <v>CEVANS@CODELCO.CL</v>
          </cell>
          <cell r="V170" t="str">
            <v>Gerencia de Operaciones</v>
          </cell>
          <cell r="W170" t="str">
            <v>Sptcia. Operacion Mina</v>
          </cell>
          <cell r="X170" t="str">
            <v>Sptcia. Operacion Mina</v>
          </cell>
          <cell r="Y170" t="str">
            <v>Operativo</v>
          </cell>
          <cell r="Z170" t="str">
            <v>Temporal</v>
          </cell>
        </row>
        <row r="171">
          <cell r="A171" t="str">
            <v>305861</v>
          </cell>
          <cell r="B171" t="str">
            <v>209655055</v>
          </cell>
          <cell r="C171" t="str">
            <v>ROBLES ROJAS MAYRA</v>
          </cell>
          <cell r="D171" t="str">
            <v>Graduado</v>
          </cell>
          <cell r="E171" t="str">
            <v>Prof. 4X3 12 hrs</v>
          </cell>
          <cell r="F171" t="str">
            <v>Femenino</v>
          </cell>
          <cell r="G171" t="str">
            <v>MROBL016@CODELCO.CL</v>
          </cell>
          <cell r="H171">
            <v>24</v>
          </cell>
          <cell r="I171">
            <v>46000</v>
          </cell>
          <cell r="J171">
            <v>46000</v>
          </cell>
          <cell r="K171" t="str">
            <v>#</v>
          </cell>
          <cell r="L171">
            <v>46000</v>
          </cell>
          <cell r="M171">
            <v>46000</v>
          </cell>
          <cell r="N171">
            <v>46000</v>
          </cell>
          <cell r="O171">
            <v>46000</v>
          </cell>
          <cell r="P171">
            <v>59202</v>
          </cell>
          <cell r="Q171">
            <v>46000</v>
          </cell>
          <cell r="R171">
            <v>1</v>
          </cell>
          <cell r="S171">
            <v>46000</v>
          </cell>
          <cell r="T171" t="str">
            <v>VENEGAS MILLONES GABRIELA PATRICIA</v>
          </cell>
          <cell r="U171" t="str">
            <v>GVENE001@CODELCO.CL</v>
          </cell>
          <cell r="V171" t="str">
            <v>Direccion de Excelencia Operacional</v>
          </cell>
          <cell r="W171" t="str">
            <v>Sin asignar</v>
          </cell>
          <cell r="X171" t="str">
            <v>Direccion de Excelencia Operacional</v>
          </cell>
          <cell r="Y171" t="str">
            <v>Programa Graduados</v>
          </cell>
          <cell r="Z171" t="str">
            <v>Temporal</v>
          </cell>
        </row>
        <row r="172">
          <cell r="A172" t="str">
            <v>305863</v>
          </cell>
          <cell r="B172" t="str">
            <v>203900899</v>
          </cell>
          <cell r="C172" t="str">
            <v>DURAN PEREZ SCARLETT</v>
          </cell>
          <cell r="D172" t="str">
            <v>Graduado</v>
          </cell>
          <cell r="E172" t="str">
            <v>Prof. 4X3 12 hrs</v>
          </cell>
          <cell r="F172" t="str">
            <v>Femenino</v>
          </cell>
          <cell r="G172" t="str">
            <v>SDURA007@CODELCO.CL</v>
          </cell>
          <cell r="H172">
            <v>26</v>
          </cell>
          <cell r="I172">
            <v>46000</v>
          </cell>
          <cell r="J172">
            <v>46000</v>
          </cell>
          <cell r="K172" t="str">
            <v>#</v>
          </cell>
          <cell r="L172">
            <v>46000</v>
          </cell>
          <cell r="M172">
            <v>46000</v>
          </cell>
          <cell r="N172">
            <v>46000</v>
          </cell>
          <cell r="O172">
            <v>46000</v>
          </cell>
          <cell r="P172">
            <v>58541</v>
          </cell>
          <cell r="Q172">
            <v>46000</v>
          </cell>
          <cell r="R172">
            <v>1</v>
          </cell>
          <cell r="S172">
            <v>46000</v>
          </cell>
          <cell r="T172" t="str">
            <v>VENEGAS MILLONES GABRIELA PATRICIA</v>
          </cell>
          <cell r="U172" t="str">
            <v>GVENE001@CODELCO.CL</v>
          </cell>
          <cell r="V172" t="str">
            <v>Direccion de Excelencia Operacional</v>
          </cell>
          <cell r="W172" t="str">
            <v>Sin asignar</v>
          </cell>
          <cell r="X172" t="str">
            <v>Direccion de Excelencia Operacional</v>
          </cell>
          <cell r="Y172" t="str">
            <v>Programa Graduados</v>
          </cell>
          <cell r="Z172" t="str">
            <v>Temporal</v>
          </cell>
        </row>
        <row r="173">
          <cell r="A173" t="str">
            <v>305864</v>
          </cell>
          <cell r="B173" t="str">
            <v>192062241</v>
          </cell>
          <cell r="C173" t="str">
            <v>FERNÁNDEZ BAUTISTA YANELA GISSELLE</v>
          </cell>
          <cell r="D173" t="str">
            <v>Graduado</v>
          </cell>
          <cell r="E173" t="str">
            <v>Prof. 4X3 12 hrs</v>
          </cell>
          <cell r="F173" t="str">
            <v>Femenino</v>
          </cell>
          <cell r="G173" t="str">
            <v>YFERN011@CODELCO.CL</v>
          </cell>
          <cell r="H173">
            <v>29</v>
          </cell>
          <cell r="I173">
            <v>46000</v>
          </cell>
          <cell r="J173">
            <v>46000</v>
          </cell>
          <cell r="K173" t="str">
            <v>#</v>
          </cell>
          <cell r="L173">
            <v>46000</v>
          </cell>
          <cell r="M173">
            <v>46000</v>
          </cell>
          <cell r="N173">
            <v>46000</v>
          </cell>
          <cell r="O173">
            <v>46000</v>
          </cell>
          <cell r="P173">
            <v>57155</v>
          </cell>
          <cell r="Q173">
            <v>46000</v>
          </cell>
          <cell r="R173">
            <v>1</v>
          </cell>
          <cell r="S173">
            <v>46000</v>
          </cell>
          <cell r="T173" t="str">
            <v>VENEGAS MILLONES GABRIELA PATRICIA</v>
          </cell>
          <cell r="U173" t="str">
            <v>GVENE001@CODELCO.CL</v>
          </cell>
          <cell r="V173" t="str">
            <v>Direccion de Excelencia Operacional</v>
          </cell>
          <cell r="W173" t="str">
            <v>Sin asignar</v>
          </cell>
          <cell r="X173" t="str">
            <v>Direccion de Excelencia Operacional</v>
          </cell>
          <cell r="Y173" t="str">
            <v>Programa Graduados</v>
          </cell>
          <cell r="Z173" t="str">
            <v>Temporal</v>
          </cell>
        </row>
        <row r="174">
          <cell r="A174" t="str">
            <v>305865</v>
          </cell>
          <cell r="B174" t="str">
            <v>199852876</v>
          </cell>
          <cell r="C174" t="str">
            <v>AMPUERO SOTO DIANA</v>
          </cell>
          <cell r="D174" t="str">
            <v>Graduado</v>
          </cell>
          <cell r="E174" t="str">
            <v>Prof. 4X3 12 hrs</v>
          </cell>
          <cell r="F174" t="str">
            <v>Femenino</v>
          </cell>
          <cell r="G174" t="str">
            <v>DAMPU001@CODELCO.CL</v>
          </cell>
          <cell r="H174">
            <v>28</v>
          </cell>
          <cell r="I174">
            <v>45992</v>
          </cell>
          <cell r="J174">
            <v>45992</v>
          </cell>
          <cell r="K174" t="str">
            <v>#</v>
          </cell>
          <cell r="L174">
            <v>45992</v>
          </cell>
          <cell r="M174">
            <v>45992</v>
          </cell>
          <cell r="N174">
            <v>45992</v>
          </cell>
          <cell r="O174">
            <v>45992</v>
          </cell>
          <cell r="P174">
            <v>57929</v>
          </cell>
          <cell r="Q174">
            <v>45992</v>
          </cell>
          <cell r="R174">
            <v>1</v>
          </cell>
          <cell r="S174">
            <v>45992</v>
          </cell>
          <cell r="T174" t="str">
            <v>VENEGAS MILLONES GABRIELA PATRICIA</v>
          </cell>
          <cell r="U174" t="str">
            <v>GVENE001@CODELCO.CL</v>
          </cell>
          <cell r="V174" t="str">
            <v>Direccion de Excelencia Operacional</v>
          </cell>
          <cell r="W174" t="str">
            <v>Sin asignar</v>
          </cell>
          <cell r="X174" t="str">
            <v>Direccion de Excelencia Operacional</v>
          </cell>
          <cell r="Y174" t="str">
            <v>Programa Graduados</v>
          </cell>
          <cell r="Z174" t="str">
            <v>Temporal</v>
          </cell>
        </row>
        <row r="175">
          <cell r="A175" t="str">
            <v>305872</v>
          </cell>
          <cell r="B175" t="str">
            <v>165654013</v>
          </cell>
          <cell r="C175" t="str">
            <v>CEBALLOS HUANCHICAY CAROLINA DANIELA</v>
          </cell>
          <cell r="D175" t="str">
            <v>Operador Mina</v>
          </cell>
          <cell r="E175" t="str">
            <v>Oper. 7X7 12 Hrs TAB G02</v>
          </cell>
          <cell r="F175" t="str">
            <v>Femenino</v>
          </cell>
          <cell r="G175" t="str">
            <v>CCEBA001@CODELCO.CL</v>
          </cell>
          <cell r="H175">
            <v>39</v>
          </cell>
          <cell r="I175">
            <v>46000</v>
          </cell>
          <cell r="J175">
            <v>46000</v>
          </cell>
          <cell r="K175" t="str">
            <v>#</v>
          </cell>
          <cell r="L175">
            <v>46000</v>
          </cell>
          <cell r="M175">
            <v>46000</v>
          </cell>
          <cell r="N175">
            <v>46000</v>
          </cell>
          <cell r="O175">
            <v>46000</v>
          </cell>
          <cell r="P175">
            <v>53722</v>
          </cell>
          <cell r="Q175">
            <v>46000</v>
          </cell>
          <cell r="R175">
            <v>1</v>
          </cell>
          <cell r="S175">
            <v>46000</v>
          </cell>
          <cell r="T175" t="str">
            <v>ORTEGA ORTUYA CARLOS</v>
          </cell>
          <cell r="U175" t="str">
            <v>CORTE009@CODELCO.CL</v>
          </cell>
          <cell r="V175" t="str">
            <v>Gerencia de Operaciones</v>
          </cell>
          <cell r="W175" t="str">
            <v>Sptcia. Operacion Mina</v>
          </cell>
          <cell r="X175" t="str">
            <v>Sptcia. Operacion Mina</v>
          </cell>
          <cell r="Y175" t="str">
            <v>Operativo</v>
          </cell>
          <cell r="Z175" t="str">
            <v>Temporal</v>
          </cell>
        </row>
        <row r="176">
          <cell r="A176" t="str">
            <v>305875</v>
          </cell>
          <cell r="B176" t="str">
            <v>199399845</v>
          </cell>
          <cell r="C176" t="str">
            <v>VALLEJO PACHECO FRANCISCA CONSUELO</v>
          </cell>
          <cell r="D176" t="str">
            <v>Graduado</v>
          </cell>
          <cell r="E176" t="str">
            <v>Prof. 4X3 12 hrs</v>
          </cell>
          <cell r="F176" t="str">
            <v>Femenino</v>
          </cell>
          <cell r="G176" t="str">
            <v>FVALL006@CODELCO.CL</v>
          </cell>
          <cell r="H176">
            <v>28</v>
          </cell>
          <cell r="I176">
            <v>46000</v>
          </cell>
          <cell r="J176">
            <v>46000</v>
          </cell>
          <cell r="K176" t="str">
            <v>#</v>
          </cell>
          <cell r="L176">
            <v>46000</v>
          </cell>
          <cell r="M176">
            <v>46000</v>
          </cell>
          <cell r="N176">
            <v>46000</v>
          </cell>
          <cell r="O176">
            <v>46000</v>
          </cell>
          <cell r="P176">
            <v>57814</v>
          </cell>
          <cell r="Q176">
            <v>46000</v>
          </cell>
          <cell r="R176">
            <v>1</v>
          </cell>
          <cell r="S176">
            <v>46000</v>
          </cell>
          <cell r="T176" t="str">
            <v>VENEGAS MILLONES GABRIELA PATRICIA</v>
          </cell>
          <cell r="U176" t="str">
            <v>GVENE001@CODELCO.CL</v>
          </cell>
          <cell r="V176" t="str">
            <v>Direccion de Excelencia Operacional</v>
          </cell>
          <cell r="W176" t="str">
            <v>Sin asignar</v>
          </cell>
          <cell r="X176" t="str">
            <v>Direccion de Excelencia Operacional</v>
          </cell>
          <cell r="Y176" t="str">
            <v>Programa Graduados</v>
          </cell>
          <cell r="Z176" t="str">
            <v>Temporal</v>
          </cell>
        </row>
        <row r="177">
          <cell r="A177" t="str">
            <v>305876</v>
          </cell>
          <cell r="B177" t="str">
            <v>204489920</v>
          </cell>
          <cell r="C177" t="str">
            <v>GAJARDO MUÑOZ PAZ VALENTINA</v>
          </cell>
          <cell r="D177" t="str">
            <v>Graduado</v>
          </cell>
          <cell r="E177" t="str">
            <v>Prof. 4X3 12 hrs</v>
          </cell>
          <cell r="F177" t="str">
            <v>Femenino</v>
          </cell>
          <cell r="G177" t="str">
            <v>PGAJA011@CODELCO.CL</v>
          </cell>
          <cell r="H177">
            <v>26</v>
          </cell>
          <cell r="I177">
            <v>45992</v>
          </cell>
          <cell r="J177">
            <v>45992</v>
          </cell>
          <cell r="K177" t="str">
            <v>#</v>
          </cell>
          <cell r="L177">
            <v>45992</v>
          </cell>
          <cell r="M177">
            <v>45992</v>
          </cell>
          <cell r="N177">
            <v>45992</v>
          </cell>
          <cell r="O177">
            <v>45992</v>
          </cell>
          <cell r="P177">
            <v>58623</v>
          </cell>
          <cell r="Q177">
            <v>45992</v>
          </cell>
          <cell r="R177">
            <v>1</v>
          </cell>
          <cell r="S177">
            <v>45992</v>
          </cell>
          <cell r="T177" t="str">
            <v>VENEGAS MILLONES GABRIELA PATRICIA</v>
          </cell>
          <cell r="U177" t="str">
            <v>GVENE001@CODELCO.CL</v>
          </cell>
          <cell r="V177" t="str">
            <v>Direccion de Excelencia Operacional</v>
          </cell>
          <cell r="W177" t="str">
            <v>Sin asignar</v>
          </cell>
          <cell r="X177" t="str">
            <v>Direccion de Excelencia Operacional</v>
          </cell>
          <cell r="Y177" t="str">
            <v>Programa Graduados</v>
          </cell>
          <cell r="Z177" t="str">
            <v>Temporal</v>
          </cell>
        </row>
        <row r="178">
          <cell r="A178" t="str">
            <v>305878</v>
          </cell>
          <cell r="B178" t="str">
            <v>019396088K</v>
          </cell>
          <cell r="C178" t="str">
            <v>RODRÍGUEZ OJEDA PATRICIA</v>
          </cell>
          <cell r="D178" t="str">
            <v>Graduado</v>
          </cell>
          <cell r="E178" t="str">
            <v>Prof. 4X3 12 hrs</v>
          </cell>
          <cell r="F178" t="str">
            <v>Femenino</v>
          </cell>
          <cell r="G178" t="str">
            <v>PRODR035@CODELCO.CL</v>
          </cell>
          <cell r="H178">
            <v>30</v>
          </cell>
          <cell r="I178">
            <v>45992</v>
          </cell>
          <cell r="J178">
            <v>45992</v>
          </cell>
          <cell r="K178" t="str">
            <v>#</v>
          </cell>
          <cell r="L178">
            <v>45992</v>
          </cell>
          <cell r="M178">
            <v>45992</v>
          </cell>
          <cell r="N178">
            <v>45992</v>
          </cell>
          <cell r="O178">
            <v>45992</v>
          </cell>
          <cell r="P178">
            <v>57111</v>
          </cell>
          <cell r="Q178">
            <v>45992</v>
          </cell>
          <cell r="R178">
            <v>1</v>
          </cell>
          <cell r="S178">
            <v>45992</v>
          </cell>
          <cell r="T178" t="str">
            <v>VENEGAS MILLONES GABRIELA PATRICIA</v>
          </cell>
          <cell r="U178" t="str">
            <v>GVENE001@CODELCO.CL</v>
          </cell>
          <cell r="V178" t="str">
            <v>Direccion de Excelencia Operacional</v>
          </cell>
          <cell r="W178" t="str">
            <v>Sin asignar</v>
          </cell>
          <cell r="X178" t="str">
            <v>Direccion de Excelencia Operacional</v>
          </cell>
          <cell r="Y178" t="str">
            <v>Programa Graduados</v>
          </cell>
          <cell r="Z178" t="str">
            <v>Temporal</v>
          </cell>
        </row>
        <row r="179">
          <cell r="A179" t="str">
            <v>305880</v>
          </cell>
          <cell r="B179" t="str">
            <v>200747372</v>
          </cell>
          <cell r="C179" t="str">
            <v>GUZMÁN ALVAREZ FERNANDA</v>
          </cell>
          <cell r="D179" t="str">
            <v>Graduado</v>
          </cell>
          <cell r="E179" t="str">
            <v>Prof. 4X3 12 hrs</v>
          </cell>
          <cell r="F179" t="str">
            <v>Femenino</v>
          </cell>
          <cell r="G179" t="str">
            <v>FGUZM013@CODELCO.CL</v>
          </cell>
          <cell r="H179">
            <v>27</v>
          </cell>
          <cell r="I179">
            <v>45992</v>
          </cell>
          <cell r="J179">
            <v>45992</v>
          </cell>
          <cell r="K179" t="str">
            <v>#</v>
          </cell>
          <cell r="L179">
            <v>45992</v>
          </cell>
          <cell r="M179">
            <v>45992</v>
          </cell>
          <cell r="N179">
            <v>45992</v>
          </cell>
          <cell r="O179">
            <v>45992</v>
          </cell>
          <cell r="P179">
            <v>58150</v>
          </cell>
          <cell r="Q179">
            <v>45992</v>
          </cell>
          <cell r="R179">
            <v>1</v>
          </cell>
          <cell r="S179">
            <v>45992</v>
          </cell>
          <cell r="T179" t="str">
            <v>VENEGAS MILLONES GABRIELA PATRICIA</v>
          </cell>
          <cell r="U179" t="str">
            <v>GVENE001@CODELCO.CL</v>
          </cell>
          <cell r="V179" t="str">
            <v>Direccion de Excelencia Operacional</v>
          </cell>
          <cell r="W179" t="str">
            <v>Sin asignar</v>
          </cell>
          <cell r="X179" t="str">
            <v>Direccion de Excelencia Operacional</v>
          </cell>
          <cell r="Y179" t="str">
            <v>Programa Graduados</v>
          </cell>
          <cell r="Z179" t="str">
            <v>Temporal</v>
          </cell>
        </row>
        <row r="180">
          <cell r="A180" t="str">
            <v>305883</v>
          </cell>
          <cell r="B180" t="str">
            <v>202138438</v>
          </cell>
          <cell r="C180" t="str">
            <v>FLORES CASTRO VALENTINA IGNACIA</v>
          </cell>
          <cell r="D180" t="str">
            <v>Graduado</v>
          </cell>
          <cell r="E180" t="str">
            <v>Prof. 4X3 12 hrs</v>
          </cell>
          <cell r="F180" t="str">
            <v>Femenino</v>
          </cell>
          <cell r="G180" t="str">
            <v>VFLOR013@CODELCO.CL</v>
          </cell>
          <cell r="H180">
            <v>26</v>
          </cell>
          <cell r="I180">
            <v>45992</v>
          </cell>
          <cell r="J180">
            <v>45992</v>
          </cell>
          <cell r="K180" t="str">
            <v>#</v>
          </cell>
          <cell r="L180">
            <v>45992</v>
          </cell>
          <cell r="M180">
            <v>45992</v>
          </cell>
          <cell r="N180">
            <v>45992</v>
          </cell>
          <cell r="O180">
            <v>45992</v>
          </cell>
          <cell r="P180">
            <v>58451</v>
          </cell>
          <cell r="Q180">
            <v>45992</v>
          </cell>
          <cell r="R180">
            <v>1</v>
          </cell>
          <cell r="S180">
            <v>45992</v>
          </cell>
          <cell r="T180" t="str">
            <v>VENEGAS MILLONES GABRIELA PATRICIA</v>
          </cell>
          <cell r="U180" t="str">
            <v>GVENE001@CODELCO.CL</v>
          </cell>
          <cell r="V180" t="str">
            <v>Direccion de Excelencia Operacional</v>
          </cell>
          <cell r="W180" t="str">
            <v>Sin asignar</v>
          </cell>
          <cell r="X180" t="str">
            <v>Direccion de Excelencia Operacional</v>
          </cell>
          <cell r="Y180" t="str">
            <v>Programa Graduados</v>
          </cell>
          <cell r="Z180" t="str">
            <v>Temporal</v>
          </cell>
        </row>
        <row r="181">
          <cell r="A181" t="str">
            <v>305884</v>
          </cell>
          <cell r="B181" t="str">
            <v>199749668</v>
          </cell>
          <cell r="C181" t="str">
            <v>PONTIVO TORRES TRAICY</v>
          </cell>
          <cell r="D181" t="str">
            <v>Graduado</v>
          </cell>
          <cell r="E181" t="str">
            <v>Prof. 4X3 12 hrs</v>
          </cell>
          <cell r="F181" t="str">
            <v>Femenino</v>
          </cell>
          <cell r="G181" t="str">
            <v>TPONT002@CODELCO.CL</v>
          </cell>
          <cell r="H181">
            <v>27</v>
          </cell>
          <cell r="I181">
            <v>45992</v>
          </cell>
          <cell r="J181">
            <v>45992</v>
          </cell>
          <cell r="K181" t="str">
            <v>#</v>
          </cell>
          <cell r="L181">
            <v>45992</v>
          </cell>
          <cell r="M181">
            <v>45992</v>
          </cell>
          <cell r="N181">
            <v>45992</v>
          </cell>
          <cell r="O181">
            <v>45992</v>
          </cell>
          <cell r="P181">
            <v>58167</v>
          </cell>
          <cell r="Q181">
            <v>45992</v>
          </cell>
          <cell r="R181">
            <v>1</v>
          </cell>
          <cell r="S181">
            <v>45992</v>
          </cell>
          <cell r="T181" t="str">
            <v>VENEGAS MILLONES GABRIELA PATRICIA</v>
          </cell>
          <cell r="U181" t="str">
            <v>GVENE001@CODELCO.CL</v>
          </cell>
          <cell r="V181" t="str">
            <v>Direccion de Excelencia Operacional</v>
          </cell>
          <cell r="W181" t="str">
            <v>Sin asignar</v>
          </cell>
          <cell r="X181" t="str">
            <v>Direccion de Excelencia Operacional</v>
          </cell>
          <cell r="Y181" t="str">
            <v>Programa Graduados</v>
          </cell>
          <cell r="Z181" t="str">
            <v>Temporal</v>
          </cell>
        </row>
        <row r="182">
          <cell r="A182" t="str">
            <v>305893</v>
          </cell>
          <cell r="B182" t="str">
            <v>161299758</v>
          </cell>
          <cell r="C182" t="str">
            <v>FERNANDEZ FERNANDEZ PAULA</v>
          </cell>
          <cell r="D182" t="str">
            <v>Ingeniero/a Metalurgista Largo Plazo</v>
          </cell>
          <cell r="E182" t="str">
            <v>Prof. 4X3 12 hrs</v>
          </cell>
          <cell r="F182" t="str">
            <v>Femenino</v>
          </cell>
          <cell r="G182" t="str">
            <v>PFERN028@CODELCO.CL</v>
          </cell>
          <cell r="H182">
            <v>40</v>
          </cell>
          <cell r="I182">
            <v>46013</v>
          </cell>
          <cell r="J182">
            <v>46013</v>
          </cell>
          <cell r="K182" t="str">
            <v>#</v>
          </cell>
          <cell r="L182">
            <v>46013</v>
          </cell>
          <cell r="M182">
            <v>46013</v>
          </cell>
          <cell r="N182">
            <v>46013</v>
          </cell>
          <cell r="O182">
            <v>46013</v>
          </cell>
          <cell r="P182">
            <v>53428</v>
          </cell>
          <cell r="Q182">
            <v>46013</v>
          </cell>
          <cell r="R182">
            <v>0</v>
          </cell>
          <cell r="S182">
            <v>46013</v>
          </cell>
          <cell r="T182" t="str">
            <v>ALMEIDA JARA KATHERINE ALEJANDRA</v>
          </cell>
          <cell r="U182" t="str">
            <v>KALMEIDA@CODELCO.CL</v>
          </cell>
          <cell r="V182" t="str">
            <v>Gerencia de Recursos Mineros y Desarr</v>
          </cell>
          <cell r="W182" t="str">
            <v>Superintendencia Planificacion Planta</v>
          </cell>
          <cell r="X182" t="str">
            <v>Superintendencia Planificacion Planta</v>
          </cell>
          <cell r="Y182" t="str">
            <v>Profesional</v>
          </cell>
          <cell r="Z182" t="str">
            <v>Indefinido</v>
          </cell>
        </row>
        <row r="183">
          <cell r="A183" t="str">
            <v>305936</v>
          </cell>
          <cell r="B183" t="str">
            <v>206978414</v>
          </cell>
          <cell r="C183" t="str">
            <v>ROJAS SANDOVAL GENESIS</v>
          </cell>
          <cell r="D183" t="str">
            <v>Especialista Operativo Taller</v>
          </cell>
          <cell r="E183" t="str">
            <v>Oper. 7X7 12 Hrs TAB G02</v>
          </cell>
          <cell r="F183" t="str">
            <v>Femenino</v>
          </cell>
          <cell r="G183" t="str">
            <v>GROJA071@CODELCO.CL</v>
          </cell>
          <cell r="H183">
            <v>25</v>
          </cell>
          <cell r="I183">
            <v>46013</v>
          </cell>
          <cell r="J183">
            <v>46013</v>
          </cell>
          <cell r="K183" t="str">
            <v>#</v>
          </cell>
          <cell r="L183">
            <v>46013</v>
          </cell>
          <cell r="M183">
            <v>46013</v>
          </cell>
          <cell r="N183">
            <v>46013</v>
          </cell>
          <cell r="O183">
            <v>46013</v>
          </cell>
          <cell r="P183">
            <v>53525</v>
          </cell>
          <cell r="Q183">
            <v>46013</v>
          </cell>
          <cell r="R183">
            <v>0</v>
          </cell>
          <cell r="S183">
            <v>46013</v>
          </cell>
          <cell r="T183" t="str">
            <v>LISBOA BANDA RODRIGO EUGENIO</v>
          </cell>
          <cell r="U183" t="str">
            <v>RLISB001@CODELCO.CL</v>
          </cell>
          <cell r="V183" t="str">
            <v>Gerencia de Mantenimiento</v>
          </cell>
          <cell r="W183" t="str">
            <v>Sptcia. Mtto. Mina</v>
          </cell>
          <cell r="X183" t="str">
            <v>Sptcia. Mtto. Mina</v>
          </cell>
          <cell r="Y183" t="str">
            <v>Operativo</v>
          </cell>
          <cell r="Z183" t="str">
            <v>Indefinido</v>
          </cell>
        </row>
        <row r="184">
          <cell r="A184" t="str">
            <v>305937</v>
          </cell>
          <cell r="B184" t="str">
            <v>167737951</v>
          </cell>
          <cell r="C184" t="str">
            <v>CORTES SANTANDER JACQUELINE</v>
          </cell>
          <cell r="D184" t="str">
            <v>Especialista Operativo Taller</v>
          </cell>
          <cell r="E184" t="str">
            <v>Oper. 7X7 12 Hrs TAB G01</v>
          </cell>
          <cell r="F184" t="str">
            <v>Femenino</v>
          </cell>
          <cell r="G184" t="str">
            <v>JCORT141@CODELCO.CL</v>
          </cell>
          <cell r="H184">
            <v>38</v>
          </cell>
          <cell r="I184">
            <v>46013</v>
          </cell>
          <cell r="J184">
            <v>46013</v>
          </cell>
          <cell r="K184" t="str">
            <v>#</v>
          </cell>
          <cell r="L184">
            <v>46013</v>
          </cell>
          <cell r="M184">
            <v>46013</v>
          </cell>
          <cell r="N184">
            <v>46013</v>
          </cell>
          <cell r="O184">
            <v>46013</v>
          </cell>
          <cell r="P184">
            <v>54275</v>
          </cell>
          <cell r="Q184">
            <v>46013</v>
          </cell>
          <cell r="R184">
            <v>0</v>
          </cell>
          <cell r="S184">
            <v>46013</v>
          </cell>
          <cell r="T184" t="str">
            <v>LISBOA BANDA RODRIGO EUGENIO</v>
          </cell>
          <cell r="U184" t="str">
            <v>RLISB001@CODELCO.CL</v>
          </cell>
          <cell r="V184" t="str">
            <v>Gerencia de Mantenimiento</v>
          </cell>
          <cell r="W184" t="str">
            <v>Sptcia. Mtto. Mina</v>
          </cell>
          <cell r="X184" t="str">
            <v>Sptcia. Mtto. Mina</v>
          </cell>
          <cell r="Y184" t="str">
            <v>Operativo</v>
          </cell>
          <cell r="Z184" t="str">
            <v>Indefinido</v>
          </cell>
        </row>
        <row r="185">
          <cell r="A185" t="str">
            <v>306063</v>
          </cell>
          <cell r="B185" t="str">
            <v>118960262</v>
          </cell>
          <cell r="C185" t="str">
            <v>ROA MENDOZA HANS</v>
          </cell>
          <cell r="D185" t="str">
            <v>Ingeniero Planificación Mtto. Mina</v>
          </cell>
          <cell r="E185" t="str">
            <v>Prof. 4X3 12 hrs</v>
          </cell>
          <cell r="F185" t="str">
            <v>Masculino</v>
          </cell>
          <cell r="G185" t="str">
            <v>HROAM001@CODELCO.CL</v>
          </cell>
          <cell r="H185">
            <v>55</v>
          </cell>
          <cell r="I185">
            <v>46034</v>
          </cell>
          <cell r="J185">
            <v>46034</v>
          </cell>
          <cell r="K185" t="str">
            <v>8</v>
          </cell>
          <cell r="L185">
            <v>46034</v>
          </cell>
          <cell r="M185">
            <v>46034</v>
          </cell>
          <cell r="N185">
            <v>46034</v>
          </cell>
          <cell r="O185">
            <v>46034</v>
          </cell>
          <cell r="P185">
            <v>49739</v>
          </cell>
          <cell r="Q185">
            <v>46034</v>
          </cell>
          <cell r="R185">
            <v>0</v>
          </cell>
          <cell r="S185">
            <v>46034</v>
          </cell>
          <cell r="T185" t="str">
            <v>HERRERA FUENZALIDA ALEX</v>
          </cell>
          <cell r="U185" t="str">
            <v>AHERR024@CODELCO.CL</v>
          </cell>
          <cell r="V185" t="str">
            <v>Gerencia de Mantenimiento</v>
          </cell>
          <cell r="W185" t="str">
            <v>Sptcia. Planificacion Mantenimiento</v>
          </cell>
          <cell r="X185" t="str">
            <v>Sptcia. Planificacion Mantenimiento</v>
          </cell>
          <cell r="Y185" t="str">
            <v>Profesional</v>
          </cell>
          <cell r="Z185" t="str">
            <v>Indefinido</v>
          </cell>
        </row>
        <row r="186">
          <cell r="A186" t="str">
            <v>306066</v>
          </cell>
          <cell r="B186" t="str">
            <v>165975359</v>
          </cell>
          <cell r="C186" t="str">
            <v>RIVERA MUÑOZ JONATHAN MAURICIO</v>
          </cell>
          <cell r="D186" t="str">
            <v>Operador Planta AS</v>
          </cell>
          <cell r="E186" t="str">
            <v>Oper. 7X7 12 Hrs TAB G02</v>
          </cell>
          <cell r="F186" t="str">
            <v>Masculino</v>
          </cell>
          <cell r="G186" t="str">
            <v>JRIVE059@CODELCO.CL</v>
          </cell>
          <cell r="H186">
            <v>38</v>
          </cell>
          <cell r="I186">
            <v>46027</v>
          </cell>
          <cell r="J186">
            <v>46027</v>
          </cell>
          <cell r="K186" t="str">
            <v>10</v>
          </cell>
          <cell r="L186">
            <v>46027</v>
          </cell>
          <cell r="M186">
            <v>46027</v>
          </cell>
          <cell r="N186">
            <v>46027</v>
          </cell>
          <cell r="O186">
            <v>46027</v>
          </cell>
          <cell r="P186">
            <v>55809</v>
          </cell>
          <cell r="Q186">
            <v>46027</v>
          </cell>
          <cell r="R186">
            <v>0</v>
          </cell>
          <cell r="S186">
            <v>46027</v>
          </cell>
          <cell r="T186" t="str">
            <v>CASTILLO OROSTICA ADRIANO BALTAZAR</v>
          </cell>
          <cell r="U186" t="str">
            <v>ACAST080@CODELCO.CL</v>
          </cell>
          <cell r="V186" t="str">
            <v>Gerencia de Operaciones</v>
          </cell>
          <cell r="W186" t="str">
            <v>Sptcia. Operacion Area Seca</v>
          </cell>
          <cell r="X186" t="str">
            <v>Sptcia. Operacion Area Seca</v>
          </cell>
          <cell r="Y186" t="str">
            <v>Operativo</v>
          </cell>
          <cell r="Z186" t="str">
            <v>Indefinido</v>
          </cell>
        </row>
        <row r="187">
          <cell r="A187" t="str">
            <v>306067</v>
          </cell>
          <cell r="B187" t="str">
            <v>153806667</v>
          </cell>
          <cell r="C187" t="str">
            <v>CERDA PONCE ALAN</v>
          </cell>
          <cell r="D187" t="str">
            <v>Ingeniero Planificación Largo Plazo</v>
          </cell>
          <cell r="E187" t="str">
            <v>Prof. 4X3 12 hrs</v>
          </cell>
          <cell r="F187" t="str">
            <v>Masculino</v>
          </cell>
          <cell r="G187" t="str">
            <v>ACERD018@CODELCO.CL</v>
          </cell>
          <cell r="H187">
            <v>44</v>
          </cell>
          <cell r="I187">
            <v>46027</v>
          </cell>
          <cell r="J187">
            <v>46027</v>
          </cell>
          <cell r="K187" t="str">
            <v>#</v>
          </cell>
          <cell r="L187">
            <v>46027</v>
          </cell>
          <cell r="M187">
            <v>46027</v>
          </cell>
          <cell r="N187">
            <v>46027</v>
          </cell>
          <cell r="O187">
            <v>46027</v>
          </cell>
          <cell r="P187">
            <v>53914</v>
          </cell>
          <cell r="Q187">
            <v>46027</v>
          </cell>
          <cell r="R187">
            <v>0</v>
          </cell>
          <cell r="S187">
            <v>46027</v>
          </cell>
          <cell r="T187" t="str">
            <v>CAFFARENA BARCENILLA FELIPE ALBERTO</v>
          </cell>
          <cell r="U187" t="str">
            <v>FCAFFARE@CODELCO.CL</v>
          </cell>
          <cell r="V187" t="str">
            <v>Gerencia de Recursos Mineros y Desarr</v>
          </cell>
          <cell r="W187" t="str">
            <v>Superintendencia Planificacion Minera</v>
          </cell>
          <cell r="X187" t="str">
            <v>Superintendencia Planificacion Minera</v>
          </cell>
          <cell r="Y187" t="str">
            <v>Profesional</v>
          </cell>
          <cell r="Z187" t="str">
            <v>Indefinido</v>
          </cell>
        </row>
        <row r="188">
          <cell r="A188" t="str">
            <v>306069</v>
          </cell>
          <cell r="B188" t="str">
            <v>150408075</v>
          </cell>
          <cell r="C188" t="str">
            <v>ROJAS ARAYA EDUARDO ANDRES</v>
          </cell>
          <cell r="D188" t="str">
            <v>Ingeniero Electrico Instrumentacion</v>
          </cell>
          <cell r="E188" t="str">
            <v>Oper. 7X7 12 Hrs TAB G02</v>
          </cell>
          <cell r="F188" t="str">
            <v>Masculino</v>
          </cell>
          <cell r="G188" t="str">
            <v>EROJA078@CODELCO.CL</v>
          </cell>
          <cell r="H188">
            <v>43</v>
          </cell>
          <cell r="I188">
            <v>46034</v>
          </cell>
          <cell r="J188">
            <v>46034</v>
          </cell>
          <cell r="K188" t="str">
            <v>8</v>
          </cell>
          <cell r="L188">
            <v>46034</v>
          </cell>
          <cell r="M188">
            <v>46034</v>
          </cell>
          <cell r="N188">
            <v>46034</v>
          </cell>
          <cell r="O188">
            <v>46034</v>
          </cell>
          <cell r="P188">
            <v>53865</v>
          </cell>
          <cell r="Q188">
            <v>46034</v>
          </cell>
          <cell r="R188">
            <v>0</v>
          </cell>
          <cell r="S188">
            <v>46034</v>
          </cell>
          <cell r="T188" t="str">
            <v>SAINZ DE LA PEÑA CERON RODRIGO FERNANDO</v>
          </cell>
          <cell r="U188" t="str">
            <v>RSAINZDE@CODELCO.CL</v>
          </cell>
          <cell r="V188" t="str">
            <v>Gerencia de Mantenimiento</v>
          </cell>
          <cell r="W188" t="str">
            <v>Sptcia. Mtto. Area Seca</v>
          </cell>
          <cell r="X188" t="str">
            <v>Sptcia. Mtto. Area Seca</v>
          </cell>
          <cell r="Y188" t="str">
            <v>Profesional</v>
          </cell>
          <cell r="Z188" t="str">
            <v>Indefinido</v>
          </cell>
        </row>
        <row r="189">
          <cell r="A189" t="str">
            <v>31854</v>
          </cell>
          <cell r="B189" t="str">
            <v>129176016</v>
          </cell>
          <cell r="C189" t="str">
            <v>CABRERA CORREA CLAUDIA ALEJANDRA</v>
          </cell>
          <cell r="D189" t="str">
            <v>Gerente General División G.Mistral</v>
          </cell>
          <cell r="E189" t="str">
            <v>Prof. 4X3 12 hrs</v>
          </cell>
          <cell r="F189" t="str">
            <v>Femenino</v>
          </cell>
          <cell r="G189" t="str">
            <v>CLAUDIA.CABRERA@CODE</v>
          </cell>
          <cell r="H189">
            <v>51</v>
          </cell>
          <cell r="I189">
            <v>45078</v>
          </cell>
          <cell r="J189">
            <v>45078</v>
          </cell>
          <cell r="K189" t="str">
            <v>22</v>
          </cell>
          <cell r="L189">
            <v>45078</v>
          </cell>
          <cell r="M189">
            <v>45078</v>
          </cell>
          <cell r="N189">
            <v>45078</v>
          </cell>
          <cell r="O189">
            <v>45078</v>
          </cell>
          <cell r="P189">
            <v>49407</v>
          </cell>
          <cell r="Q189">
            <v>36619</v>
          </cell>
          <cell r="R189">
            <v>3</v>
          </cell>
          <cell r="S189">
            <v>45078</v>
          </cell>
          <cell r="T189" t="str">
            <v>Sin asignar</v>
          </cell>
          <cell r="U189" t="str">
            <v>Sin asignar</v>
          </cell>
          <cell r="V189" t="str">
            <v>Gerencia General División G. Mistral</v>
          </cell>
          <cell r="W189" t="str">
            <v>Sin asignar</v>
          </cell>
          <cell r="X189" t="str">
            <v>Gerencia General División G. Mistral</v>
          </cell>
          <cell r="Y189" t="str">
            <v>Ejecutivo</v>
          </cell>
          <cell r="Z189" t="str">
            <v>Indefinido</v>
          </cell>
        </row>
        <row r="190">
          <cell r="A190" t="str">
            <v>32286</v>
          </cell>
          <cell r="B190" t="str">
            <v>131720815</v>
          </cell>
          <cell r="C190" t="str">
            <v>VEAS SOTO JUAN PATRICIO</v>
          </cell>
          <cell r="D190" t="str">
            <v>Operador Planta AH</v>
          </cell>
          <cell r="E190" t="str">
            <v>Oper. 7X7 12 Hrs TAB G02</v>
          </cell>
          <cell r="F190" t="str">
            <v>Masculino</v>
          </cell>
          <cell r="G190" t="str">
            <v>JVEAS005@CODELCO.CL</v>
          </cell>
          <cell r="H190">
            <v>49</v>
          </cell>
          <cell r="I190">
            <v>40664</v>
          </cell>
          <cell r="J190">
            <v>44531</v>
          </cell>
          <cell r="K190" t="str">
            <v>10</v>
          </cell>
          <cell r="L190">
            <v>43586</v>
          </cell>
          <cell r="M190">
            <v>40664</v>
          </cell>
          <cell r="N190">
            <v>44531</v>
          </cell>
          <cell r="O190">
            <v>44531</v>
          </cell>
          <cell r="P190">
            <v>51968</v>
          </cell>
          <cell r="Q190">
            <v>40497</v>
          </cell>
          <cell r="R190">
            <v>15</v>
          </cell>
          <cell r="S190">
            <v>40664</v>
          </cell>
          <cell r="T190" t="str">
            <v>CORREA MENDOZA CAMILA</v>
          </cell>
          <cell r="U190" t="str">
            <v>CCORR014@CODELCO.CL</v>
          </cell>
          <cell r="V190" t="str">
            <v>Gerencia de Operaciones</v>
          </cell>
          <cell r="W190" t="str">
            <v>Sptcia. Operacion Area Hum.</v>
          </cell>
          <cell r="X190" t="str">
            <v>Sx Ew y Patio de Embarque</v>
          </cell>
          <cell r="Y190" t="str">
            <v>Operativo</v>
          </cell>
          <cell r="Z190" t="str">
            <v>Indefinido</v>
          </cell>
        </row>
        <row r="191">
          <cell r="A191" t="str">
            <v>32370</v>
          </cell>
          <cell r="B191" t="str">
            <v>144874579</v>
          </cell>
          <cell r="C191" t="str">
            <v>MONTECINO CACERES DANIEL ARTURO</v>
          </cell>
          <cell r="D191" t="str">
            <v>Jefe Funcional Planif.</v>
          </cell>
          <cell r="E191" t="str">
            <v>Prof. 4X3 12 hrs</v>
          </cell>
          <cell r="F191" t="str">
            <v>Masculino</v>
          </cell>
          <cell r="G191" t="str">
            <v>DMONT005@CODELCO.CL</v>
          </cell>
          <cell r="H191">
            <v>50</v>
          </cell>
          <cell r="I191">
            <v>42248</v>
          </cell>
          <cell r="J191">
            <v>42979</v>
          </cell>
          <cell r="K191" t="str">
            <v>6</v>
          </cell>
          <cell r="L191">
            <v>42248</v>
          </cell>
          <cell r="M191">
            <v>42248</v>
          </cell>
          <cell r="N191">
            <v>40817</v>
          </cell>
          <cell r="O191">
            <v>40544</v>
          </cell>
          <cell r="P191">
            <v>51775</v>
          </cell>
          <cell r="Q191">
            <v>42248</v>
          </cell>
          <cell r="R191">
            <v>11</v>
          </cell>
          <cell r="S191">
            <v>42248</v>
          </cell>
          <cell r="T191" t="str">
            <v>DONOSO NOGALES PEDRO ARNOLDO</v>
          </cell>
          <cell r="U191" t="str">
            <v>PDONO007@CODELCO.CL</v>
          </cell>
          <cell r="V191" t="str">
            <v>Gerencia de Mantenimiento</v>
          </cell>
          <cell r="W191" t="str">
            <v>Sptcia. Planificacion Mantenimiento</v>
          </cell>
          <cell r="X191" t="str">
            <v>Sptcia. Planificacion Mantenimiento</v>
          </cell>
          <cell r="Y191" t="str">
            <v>Profesional</v>
          </cell>
          <cell r="Z191" t="str">
            <v>Indefinido</v>
          </cell>
        </row>
        <row r="192">
          <cell r="A192" t="str">
            <v>32392</v>
          </cell>
          <cell r="B192" t="str">
            <v>130141498</v>
          </cell>
          <cell r="C192" t="str">
            <v>MUÑOZ TORRES ANGEL MAURICIO</v>
          </cell>
          <cell r="D192" t="str">
            <v>Geólogo Estimado de Recursos</v>
          </cell>
          <cell r="E192" t="str">
            <v>Prof. 4X3 12 hrs</v>
          </cell>
          <cell r="F192" t="str">
            <v>Masculino</v>
          </cell>
          <cell r="G192" t="str">
            <v>AMUNO052@CODELCO.CL</v>
          </cell>
          <cell r="H192">
            <v>50</v>
          </cell>
          <cell r="I192">
            <v>42128</v>
          </cell>
          <cell r="J192">
            <v>42128</v>
          </cell>
          <cell r="K192" t="str">
            <v>7</v>
          </cell>
          <cell r="L192">
            <v>45200</v>
          </cell>
          <cell r="M192">
            <v>42128</v>
          </cell>
          <cell r="N192">
            <v>42128</v>
          </cell>
          <cell r="O192">
            <v>42128</v>
          </cell>
          <cell r="P192">
            <v>51562</v>
          </cell>
          <cell r="Q192">
            <v>42128</v>
          </cell>
          <cell r="R192">
            <v>11</v>
          </cell>
          <cell r="S192">
            <v>42128</v>
          </cell>
          <cell r="T192" t="str">
            <v>NICOLAS VARGAS CLAUDIO ESTEBAN</v>
          </cell>
          <cell r="U192" t="str">
            <v>CNICOLAS@CODELCO.CL</v>
          </cell>
          <cell r="V192" t="str">
            <v>Gerencia de Recursos Mineros y Desarr</v>
          </cell>
          <cell r="W192" t="str">
            <v>Superintendencia Geologia</v>
          </cell>
          <cell r="X192" t="str">
            <v>Superintendencia Geologia</v>
          </cell>
          <cell r="Y192" t="str">
            <v>Profesional</v>
          </cell>
          <cell r="Z192" t="str">
            <v>Indefinido</v>
          </cell>
        </row>
        <row r="193">
          <cell r="A193" t="str">
            <v>32605</v>
          </cell>
          <cell r="B193" t="str">
            <v>126185375</v>
          </cell>
          <cell r="C193" t="str">
            <v>NICOLAS VARGAS CLAUDIO ESTEBAN</v>
          </cell>
          <cell r="D193" t="str">
            <v>Superintendente Geología</v>
          </cell>
          <cell r="E193" t="str">
            <v>Prof. 4X3 12 hrs</v>
          </cell>
          <cell r="F193" t="str">
            <v>Masculino</v>
          </cell>
          <cell r="G193" t="str">
            <v>CNICOLAS@CODELCO.CL</v>
          </cell>
          <cell r="H193">
            <v>51</v>
          </cell>
          <cell r="I193">
            <v>39142</v>
          </cell>
          <cell r="J193">
            <v>41091</v>
          </cell>
          <cell r="K193" t="str">
            <v>4</v>
          </cell>
          <cell r="L193">
            <v>42186</v>
          </cell>
          <cell r="M193">
            <v>39142</v>
          </cell>
          <cell r="N193">
            <v>38838</v>
          </cell>
          <cell r="O193">
            <v>38838</v>
          </cell>
          <cell r="P193">
            <v>51103</v>
          </cell>
          <cell r="Q193">
            <v>39142</v>
          </cell>
          <cell r="R193">
            <v>19</v>
          </cell>
          <cell r="S193">
            <v>39142</v>
          </cell>
          <cell r="T193" t="str">
            <v>AGUIRRE MENESES HUGO ANDRES</v>
          </cell>
          <cell r="U193" t="str">
            <v>HAGUI024@CODELCO.CL</v>
          </cell>
          <cell r="V193" t="str">
            <v>Gerencia de Recursos Mineros y Desarr</v>
          </cell>
          <cell r="W193" t="str">
            <v>Superintendencia Geologia</v>
          </cell>
          <cell r="X193" t="str">
            <v>Superintendencia Geologia</v>
          </cell>
          <cell r="Y193" t="str">
            <v>Profesional</v>
          </cell>
          <cell r="Z193" t="str">
            <v>Indefinido</v>
          </cell>
        </row>
        <row r="194">
          <cell r="A194" t="str">
            <v>32681</v>
          </cell>
          <cell r="B194" t="str">
            <v>115832727</v>
          </cell>
          <cell r="C194" t="str">
            <v>VERGARA CONTRERAS SUSANNA ANGELICA ALEJA</v>
          </cell>
          <cell r="D194" t="str">
            <v>Ingeniero Especialista Plani. Proc. Meta</v>
          </cell>
          <cell r="E194" t="str">
            <v>Prof. 4X3 12 hrs</v>
          </cell>
          <cell r="F194" t="str">
            <v>Femenino</v>
          </cell>
          <cell r="G194" t="str">
            <v>SVERGARA@CODELCO.CL</v>
          </cell>
          <cell r="H194">
            <v>55</v>
          </cell>
          <cell r="I194">
            <v>43269</v>
          </cell>
          <cell r="J194">
            <v>45536</v>
          </cell>
          <cell r="K194" t="str">
            <v>6</v>
          </cell>
          <cell r="L194">
            <v>45536</v>
          </cell>
          <cell r="M194">
            <v>43269</v>
          </cell>
          <cell r="N194">
            <v>43269</v>
          </cell>
          <cell r="O194">
            <v>43269</v>
          </cell>
          <cell r="P194">
            <v>47817</v>
          </cell>
          <cell r="Q194">
            <v>36982</v>
          </cell>
          <cell r="R194">
            <v>7</v>
          </cell>
          <cell r="S194">
            <v>43269</v>
          </cell>
          <cell r="T194" t="str">
            <v>ALMEIDA JARA KATHERINE ALEJANDRA</v>
          </cell>
          <cell r="U194" t="str">
            <v>KALMEIDA@CODELCO.CL</v>
          </cell>
          <cell r="V194" t="str">
            <v>Gerencia de Recursos Mineros y Desarr</v>
          </cell>
          <cell r="W194" t="str">
            <v>Superintendencia Planificacion Planta</v>
          </cell>
          <cell r="X194" t="str">
            <v>Superintendencia Planificacion Planta</v>
          </cell>
          <cell r="Y194" t="str">
            <v>Profesional</v>
          </cell>
          <cell r="Z194" t="str">
            <v>Indefinido</v>
          </cell>
        </row>
        <row r="195">
          <cell r="A195" t="str">
            <v>33391</v>
          </cell>
          <cell r="B195" t="str">
            <v>145660319</v>
          </cell>
          <cell r="C195" t="str">
            <v>SOTO ESQUIVEL BENITO PATRICIO</v>
          </cell>
          <cell r="D195" t="str">
            <v>Operador Mina</v>
          </cell>
          <cell r="E195" t="str">
            <v>Oper. 7X7 12 Hrs TAB G04</v>
          </cell>
          <cell r="F195" t="str">
            <v>Masculino</v>
          </cell>
          <cell r="G195" t="str">
            <v>BSOTO003@CODELCO.CL</v>
          </cell>
          <cell r="H195">
            <v>45</v>
          </cell>
          <cell r="I195">
            <v>41183</v>
          </cell>
          <cell r="J195">
            <v>39569</v>
          </cell>
          <cell r="K195" t="str">
            <v>10</v>
          </cell>
          <cell r="L195">
            <v>45413</v>
          </cell>
          <cell r="M195">
            <v>41183</v>
          </cell>
          <cell r="N195">
            <v>36008</v>
          </cell>
          <cell r="O195">
            <v>35613</v>
          </cell>
          <cell r="P195">
            <v>53405</v>
          </cell>
          <cell r="Q195">
            <v>40940</v>
          </cell>
          <cell r="R195">
            <v>14</v>
          </cell>
          <cell r="S195">
            <v>41183</v>
          </cell>
          <cell r="T195" t="str">
            <v>Sin asignar</v>
          </cell>
          <cell r="U195" t="str">
            <v>Sin asignar</v>
          </cell>
          <cell r="V195" t="str">
            <v>Gerencia de Operaciones</v>
          </cell>
          <cell r="W195" t="str">
            <v>Sptcia. Operacion Mina</v>
          </cell>
          <cell r="X195" t="str">
            <v>Sptcia. Operacion Mina</v>
          </cell>
          <cell r="Y195" t="str">
            <v>Operativo</v>
          </cell>
          <cell r="Z195" t="str">
            <v>Indefinido</v>
          </cell>
        </row>
        <row r="196">
          <cell r="A196" t="str">
            <v>33430</v>
          </cell>
          <cell r="B196" t="str">
            <v>155782560</v>
          </cell>
          <cell r="C196" t="str">
            <v>ARMELLA ARMELLA REINALDO MIGUEL</v>
          </cell>
          <cell r="D196" t="str">
            <v>Ing. Turno Mtto. Eléctrico</v>
          </cell>
          <cell r="E196" t="str">
            <v>Oper. 7X7 12 Hrs TAB A05</v>
          </cell>
          <cell r="F196" t="str">
            <v>Masculino</v>
          </cell>
          <cell r="G196" t="str">
            <v>RARMELLA@CODELCO.CL</v>
          </cell>
          <cell r="H196">
            <v>42</v>
          </cell>
          <cell r="I196">
            <v>40791</v>
          </cell>
          <cell r="J196">
            <v>43617</v>
          </cell>
          <cell r="K196" t="str">
            <v>#</v>
          </cell>
          <cell r="L196">
            <v>42491</v>
          </cell>
          <cell r="M196">
            <v>40791</v>
          </cell>
          <cell r="N196">
            <v>43191</v>
          </cell>
          <cell r="O196">
            <v>43191</v>
          </cell>
          <cell r="P196">
            <v>54299</v>
          </cell>
          <cell r="Q196">
            <v>40791</v>
          </cell>
          <cell r="R196">
            <v>15</v>
          </cell>
          <cell r="S196">
            <v>40791</v>
          </cell>
          <cell r="T196" t="str">
            <v>SILVA LARRAIN CESAR</v>
          </cell>
          <cell r="U196" t="str">
            <v>CSILV021@CODELCO.CL</v>
          </cell>
          <cell r="V196" t="str">
            <v>Gerencia de Mantenimiento</v>
          </cell>
          <cell r="W196" t="str">
            <v>Sptcia. Mtto. Area Humeda</v>
          </cell>
          <cell r="X196" t="str">
            <v>Sptcia. Mtto. Area Humeda</v>
          </cell>
          <cell r="Y196" t="str">
            <v>Profesional</v>
          </cell>
          <cell r="Z196" t="str">
            <v>Indefinido</v>
          </cell>
        </row>
        <row r="197">
          <cell r="A197" t="str">
            <v>33432</v>
          </cell>
          <cell r="B197" t="str">
            <v>150150310</v>
          </cell>
          <cell r="C197" t="str">
            <v>CARVAJAL MARTINEZ ALEJANDRO HERNAN</v>
          </cell>
          <cell r="D197" t="str">
            <v>Operador Chancado Primario</v>
          </cell>
          <cell r="E197" t="str">
            <v>Oper. 7X7 12 Hrs TAB G02</v>
          </cell>
          <cell r="F197" t="str">
            <v>Masculino</v>
          </cell>
          <cell r="G197" t="str">
            <v>SCARV010@CODELCO.CL</v>
          </cell>
          <cell r="H197">
            <v>43</v>
          </cell>
          <cell r="I197">
            <v>39387</v>
          </cell>
          <cell r="J197">
            <v>37196</v>
          </cell>
          <cell r="K197" t="str">
            <v>10</v>
          </cell>
          <cell r="L197">
            <v>42856</v>
          </cell>
          <cell r="M197">
            <v>39387</v>
          </cell>
          <cell r="N197">
            <v>37196</v>
          </cell>
          <cell r="O197">
            <v>37196</v>
          </cell>
          <cell r="P197">
            <v>53956</v>
          </cell>
          <cell r="Q197">
            <v>39387</v>
          </cell>
          <cell r="R197">
            <v>19</v>
          </cell>
          <cell r="S197">
            <v>39387</v>
          </cell>
          <cell r="T197" t="str">
            <v>CASTILLO OROSTICA ADRIANO BALTAZAR</v>
          </cell>
          <cell r="U197" t="str">
            <v>ACAST080@CODELCO.CL</v>
          </cell>
          <cell r="V197" t="str">
            <v>Gerencia de Operaciones</v>
          </cell>
          <cell r="W197" t="str">
            <v>Sptcia. Operacion Area Seca</v>
          </cell>
          <cell r="X197" t="str">
            <v>Sptcia. Operacion Area Seca</v>
          </cell>
          <cell r="Y197" t="str">
            <v>Operativo</v>
          </cell>
          <cell r="Z197" t="str">
            <v>Indefinido</v>
          </cell>
        </row>
        <row r="198">
          <cell r="A198" t="str">
            <v>33582</v>
          </cell>
          <cell r="B198" t="str">
            <v>150671833</v>
          </cell>
          <cell r="C198" t="str">
            <v>ASTUDILLO MORENO ALEJANDRO ALEXIS</v>
          </cell>
          <cell r="D198" t="str">
            <v>Operador Planta AH</v>
          </cell>
          <cell r="E198" t="str">
            <v>Oper. 7X7 12 Hrs TAB G03</v>
          </cell>
          <cell r="F198" t="str">
            <v>Masculino</v>
          </cell>
          <cell r="G198" t="str">
            <v>AASTU007@CODELCO.CL</v>
          </cell>
          <cell r="H198">
            <v>43</v>
          </cell>
          <cell r="I198">
            <v>39448</v>
          </cell>
          <cell r="J198">
            <v>45352</v>
          </cell>
          <cell r="K198" t="str">
            <v>10</v>
          </cell>
          <cell r="L198">
            <v>40909</v>
          </cell>
          <cell r="M198">
            <v>39448</v>
          </cell>
          <cell r="N198">
            <v>40057</v>
          </cell>
          <cell r="O198">
            <v>40057</v>
          </cell>
          <cell r="P198">
            <v>54013</v>
          </cell>
          <cell r="Q198">
            <v>39363</v>
          </cell>
          <cell r="R198">
            <v>18</v>
          </cell>
          <cell r="S198">
            <v>39448</v>
          </cell>
          <cell r="T198" t="str">
            <v>NAVARRO CARVAJAL JUAN FRANCISCO</v>
          </cell>
          <cell r="U198" t="str">
            <v>JNAVA020@CODELCO.CL</v>
          </cell>
          <cell r="V198" t="str">
            <v>Gerencia de Operaciones</v>
          </cell>
          <cell r="W198" t="str">
            <v>Sptcia. Operacion Area Hum.</v>
          </cell>
          <cell r="X198" t="str">
            <v>Sx Ew y Patio de Embarque</v>
          </cell>
          <cell r="Y198" t="str">
            <v>Operativo</v>
          </cell>
          <cell r="Z198" t="str">
            <v>Indefinido</v>
          </cell>
        </row>
        <row r="199">
          <cell r="A199" t="str">
            <v>33591</v>
          </cell>
          <cell r="B199" t="str">
            <v>127316465</v>
          </cell>
          <cell r="C199" t="str">
            <v>BURGOS ARRATIA FRANCISCO EDUARDO</v>
          </cell>
          <cell r="D199" t="str">
            <v>Gerente de Administracion</v>
          </cell>
          <cell r="E199" t="str">
            <v>Prof. 4X3 12 hrs</v>
          </cell>
          <cell r="F199" t="str">
            <v>Masculino</v>
          </cell>
          <cell r="G199" t="str">
            <v>FBURGOS@CODELCO.CL</v>
          </cell>
          <cell r="H199">
            <v>51</v>
          </cell>
          <cell r="I199">
            <v>45658</v>
          </cell>
          <cell r="J199">
            <v>45658</v>
          </cell>
          <cell r="K199" t="str">
            <v>19</v>
          </cell>
          <cell r="L199">
            <v>43374</v>
          </cell>
          <cell r="M199">
            <v>45658</v>
          </cell>
          <cell r="N199">
            <v>43374</v>
          </cell>
          <cell r="O199">
            <v>45658</v>
          </cell>
          <cell r="P199">
            <v>51262</v>
          </cell>
          <cell r="Q199">
            <v>37382</v>
          </cell>
          <cell r="R199">
            <v>1</v>
          </cell>
          <cell r="S199">
            <v>43374</v>
          </cell>
          <cell r="T199" t="str">
            <v>CABRERA CORREA CLAUDIA ALEJANDRA</v>
          </cell>
          <cell r="U199" t="str">
            <v>CLAUDIA.CABRERA@CODE</v>
          </cell>
          <cell r="V199" t="str">
            <v>Gerencia de Administración</v>
          </cell>
          <cell r="W199" t="str">
            <v>Sin asignar</v>
          </cell>
          <cell r="X199" t="str">
            <v>Gerencia de Administración</v>
          </cell>
          <cell r="Y199" t="str">
            <v>Ejecutivo</v>
          </cell>
          <cell r="Z199" t="str">
            <v>Indefinido</v>
          </cell>
        </row>
        <row r="200">
          <cell r="A200" t="str">
            <v>33795</v>
          </cell>
          <cell r="B200" t="str">
            <v>150182417</v>
          </cell>
          <cell r="C200" t="str">
            <v>NINA HUANCA GERSON EDMUNDO</v>
          </cell>
          <cell r="D200" t="str">
            <v>Operador Planta AH</v>
          </cell>
          <cell r="E200" t="str">
            <v>Oper. 7X7 12 Hrs TAB G02</v>
          </cell>
          <cell r="F200" t="str">
            <v>Masculino</v>
          </cell>
          <cell r="G200" t="str">
            <v>GNINA@CODELCO.CL</v>
          </cell>
          <cell r="H200">
            <v>48</v>
          </cell>
          <cell r="I200">
            <v>39448</v>
          </cell>
          <cell r="J200">
            <v>40646</v>
          </cell>
          <cell r="K200" t="str">
            <v>10</v>
          </cell>
          <cell r="L200">
            <v>43586</v>
          </cell>
          <cell r="M200">
            <v>39448</v>
          </cell>
          <cell r="N200">
            <v>40646</v>
          </cell>
          <cell r="O200">
            <v>40646</v>
          </cell>
          <cell r="P200">
            <v>52105</v>
          </cell>
          <cell r="Q200">
            <v>39448</v>
          </cell>
          <cell r="R200">
            <v>18</v>
          </cell>
          <cell r="S200">
            <v>39448</v>
          </cell>
          <cell r="T200" t="str">
            <v>CORREA MENDOZA CAMILA</v>
          </cell>
          <cell r="U200" t="str">
            <v>CCORR014@CODELCO.CL</v>
          </cell>
          <cell r="V200" t="str">
            <v>Gerencia de Operaciones</v>
          </cell>
          <cell r="W200" t="str">
            <v>Sptcia. Operacion Area Hum.</v>
          </cell>
          <cell r="X200" t="str">
            <v>Sx Ew y Patio de Embarque</v>
          </cell>
          <cell r="Y200" t="str">
            <v>Operativo</v>
          </cell>
          <cell r="Z200" t="str">
            <v>Indefinido</v>
          </cell>
        </row>
        <row r="201">
          <cell r="A201" t="str">
            <v>33997</v>
          </cell>
          <cell r="B201" t="str">
            <v>135293814</v>
          </cell>
          <cell r="C201" t="str">
            <v>BARRERA REYES LINA CRISTINA</v>
          </cell>
          <cell r="D201" t="str">
            <v>Analista de Procesos</v>
          </cell>
          <cell r="E201" t="str">
            <v>Prof. 4X3 12 hrs</v>
          </cell>
          <cell r="F201" t="str">
            <v>Femenino</v>
          </cell>
          <cell r="G201" t="str">
            <v>LBARR011@CODELCO.CL</v>
          </cell>
          <cell r="H201">
            <v>46</v>
          </cell>
          <cell r="I201">
            <v>39448</v>
          </cell>
          <cell r="J201">
            <v>38443</v>
          </cell>
          <cell r="K201" t="str">
            <v>9</v>
          </cell>
          <cell r="L201">
            <v>41883</v>
          </cell>
          <cell r="M201">
            <v>39448</v>
          </cell>
          <cell r="N201">
            <v>32331</v>
          </cell>
          <cell r="O201">
            <v>32331</v>
          </cell>
          <cell r="P201">
            <v>50944</v>
          </cell>
          <cell r="Q201">
            <v>39448</v>
          </cell>
          <cell r="R201">
            <v>18</v>
          </cell>
          <cell r="S201">
            <v>39448</v>
          </cell>
          <cell r="T201" t="str">
            <v>PARRA QUIROZ VALENTINA ALEJANDRA</v>
          </cell>
          <cell r="U201" t="str">
            <v>VPARR006@CODELCO.CL</v>
          </cell>
          <cell r="V201" t="str">
            <v>Gerencia de Recursos Mineros y Desarr</v>
          </cell>
          <cell r="W201" t="str">
            <v>Superintendencia Planificacion Planta</v>
          </cell>
          <cell r="X201" t="str">
            <v>Superintendencia Planificacion Planta</v>
          </cell>
          <cell r="Y201" t="str">
            <v>Operativo</v>
          </cell>
          <cell r="Z201" t="str">
            <v>Indefinido</v>
          </cell>
        </row>
        <row r="202">
          <cell r="A202" t="str">
            <v>34008</v>
          </cell>
          <cell r="B202" t="str">
            <v>141100033</v>
          </cell>
          <cell r="C202" t="str">
            <v>ARAYA ARAYA GUILLERMO AARON</v>
          </cell>
          <cell r="D202" t="str">
            <v>Operador Planta AS</v>
          </cell>
          <cell r="E202" t="str">
            <v>Oper. 7X7 12 Hrs TAB G01</v>
          </cell>
          <cell r="F202" t="str">
            <v>Masculino</v>
          </cell>
          <cell r="G202" t="str">
            <v>GARAY017@CODELCO.CL</v>
          </cell>
          <cell r="H202">
            <v>45</v>
          </cell>
          <cell r="I202">
            <v>42795</v>
          </cell>
          <cell r="J202">
            <v>42795</v>
          </cell>
          <cell r="K202" t="str">
            <v>10</v>
          </cell>
          <cell r="L202">
            <v>45778</v>
          </cell>
          <cell r="M202">
            <v>42795</v>
          </cell>
          <cell r="N202">
            <v>42795</v>
          </cell>
          <cell r="O202">
            <v>42795</v>
          </cell>
          <cell r="P202">
            <v>53343</v>
          </cell>
          <cell r="Q202">
            <v>41806</v>
          </cell>
          <cell r="R202">
            <v>9</v>
          </cell>
          <cell r="S202">
            <v>42795</v>
          </cell>
          <cell r="T202" t="str">
            <v>AGUILERA PÉREZ JOSÉ ALFREDO</v>
          </cell>
          <cell r="U202" t="str">
            <v>JAGUI067@CODELCO.CL</v>
          </cell>
          <cell r="V202" t="str">
            <v>Gerencia de Operaciones</v>
          </cell>
          <cell r="W202" t="str">
            <v>Sptcia. Operacion Area Seca</v>
          </cell>
          <cell r="X202" t="str">
            <v>Sptcia. Operacion Area Seca</v>
          </cell>
          <cell r="Y202" t="str">
            <v>Operativo</v>
          </cell>
          <cell r="Z202" t="str">
            <v>Indefinido</v>
          </cell>
        </row>
        <row r="203">
          <cell r="A203" t="str">
            <v>34282</v>
          </cell>
          <cell r="B203" t="str">
            <v>015013563K</v>
          </cell>
          <cell r="C203" t="str">
            <v>OCAYO CORTES ADA CAROLINA</v>
          </cell>
          <cell r="D203" t="str">
            <v>Coordinadora Administrativa</v>
          </cell>
          <cell r="E203" t="str">
            <v>Prof. 4X3 12 hrs</v>
          </cell>
          <cell r="F203" t="str">
            <v>Femenino</v>
          </cell>
          <cell r="G203" t="str">
            <v>AOCAYO@CODELCO.CL</v>
          </cell>
          <cell r="H203">
            <v>45</v>
          </cell>
          <cell r="I203">
            <v>40269</v>
          </cell>
          <cell r="J203">
            <v>36598</v>
          </cell>
          <cell r="K203" t="str">
            <v>10</v>
          </cell>
          <cell r="L203">
            <v>42491</v>
          </cell>
          <cell r="M203">
            <v>40269</v>
          </cell>
          <cell r="N203">
            <v>36598</v>
          </cell>
          <cell r="O203">
            <v>36598</v>
          </cell>
          <cell r="P203">
            <v>51603</v>
          </cell>
          <cell r="Q203">
            <v>40181</v>
          </cell>
          <cell r="R203">
            <v>16</v>
          </cell>
          <cell r="S203">
            <v>40269</v>
          </cell>
          <cell r="T203" t="str">
            <v>Sin asignar</v>
          </cell>
          <cell r="U203" t="str">
            <v>Sin asignar</v>
          </cell>
          <cell r="V203" t="str">
            <v>Gerencia de Operaciones</v>
          </cell>
          <cell r="W203" t="str">
            <v>Sin asignar</v>
          </cell>
          <cell r="X203" t="str">
            <v>Gerencia de Operaciones</v>
          </cell>
          <cell r="Y203" t="str">
            <v>Operativo</v>
          </cell>
          <cell r="Z203" t="str">
            <v>Indefinido</v>
          </cell>
        </row>
        <row r="204">
          <cell r="A204" t="str">
            <v>34452</v>
          </cell>
          <cell r="B204" t="str">
            <v>134180587</v>
          </cell>
          <cell r="C204" t="str">
            <v>ALVAREZ DIAZ GABRIEL ANDRES</v>
          </cell>
          <cell r="D204" t="str">
            <v>Especialista Operativo Control Procesos</v>
          </cell>
          <cell r="E204" t="str">
            <v>Oper. 7X7 12 Hrs TAB A06</v>
          </cell>
          <cell r="F204" t="str">
            <v>Masculino</v>
          </cell>
          <cell r="G204" t="str">
            <v>GALVA010@CODELCO.CL</v>
          </cell>
          <cell r="H204">
            <v>47</v>
          </cell>
          <cell r="I204">
            <v>40771</v>
          </cell>
          <cell r="J204">
            <v>45352</v>
          </cell>
          <cell r="K204" t="str">
            <v>9</v>
          </cell>
          <cell r="L204">
            <v>45413</v>
          </cell>
          <cell r="M204">
            <v>40771</v>
          </cell>
          <cell r="N204">
            <v>41344</v>
          </cell>
          <cell r="O204">
            <v>41344</v>
          </cell>
          <cell r="P204">
            <v>52527</v>
          </cell>
          <cell r="Q204">
            <v>40771</v>
          </cell>
          <cell r="R204">
            <v>15</v>
          </cell>
          <cell r="S204">
            <v>40771</v>
          </cell>
          <cell r="T204" t="str">
            <v>VARGAS SANHUEZA MANUEL</v>
          </cell>
          <cell r="U204" t="str">
            <v>MVARG013@CODELCO.CL</v>
          </cell>
          <cell r="V204" t="str">
            <v>Gerencia de Operaciones</v>
          </cell>
          <cell r="W204" t="str">
            <v>Sptcia. Ingeniería de Procesos</v>
          </cell>
          <cell r="X204" t="str">
            <v>Sptcia. Ingeniería de Procesos</v>
          </cell>
          <cell r="Y204" t="str">
            <v>Operativo</v>
          </cell>
          <cell r="Z204" t="str">
            <v>Indefinido</v>
          </cell>
        </row>
        <row r="205">
          <cell r="A205" t="str">
            <v>34735</v>
          </cell>
          <cell r="B205" t="str">
            <v>133116257</v>
          </cell>
          <cell r="C205" t="str">
            <v>RIOS PALMA JUAN FLORENTINO</v>
          </cell>
          <cell r="D205" t="str">
            <v>Operador Planta AH</v>
          </cell>
          <cell r="E205" t="str">
            <v>Oper. 7X7 12 Hrs TAB G02</v>
          </cell>
          <cell r="F205" t="str">
            <v>Masculino</v>
          </cell>
          <cell r="G205" t="str">
            <v>JRIOS008@CODELCO.CL</v>
          </cell>
          <cell r="H205">
            <v>51</v>
          </cell>
          <cell r="I205">
            <v>39600</v>
          </cell>
          <cell r="J205">
            <v>40118</v>
          </cell>
          <cell r="K205" t="str">
            <v>10</v>
          </cell>
          <cell r="L205">
            <v>43586</v>
          </cell>
          <cell r="M205">
            <v>39600</v>
          </cell>
          <cell r="N205">
            <v>37438</v>
          </cell>
          <cell r="O205">
            <v>40360</v>
          </cell>
          <cell r="P205">
            <v>51098</v>
          </cell>
          <cell r="Q205">
            <v>39503</v>
          </cell>
          <cell r="R205">
            <v>18</v>
          </cell>
          <cell r="S205">
            <v>39600</v>
          </cell>
          <cell r="T205" t="str">
            <v>CORREA MENDOZA CAMILA</v>
          </cell>
          <cell r="U205" t="str">
            <v>CCORR014@CODELCO.CL</v>
          </cell>
          <cell r="V205" t="str">
            <v>Gerencia de Operaciones</v>
          </cell>
          <cell r="W205" t="str">
            <v>Sptcia. Operacion Area Hum.</v>
          </cell>
          <cell r="X205" t="str">
            <v>Sx Ew y Patio de Embarque</v>
          </cell>
          <cell r="Y205" t="str">
            <v>Operativo</v>
          </cell>
          <cell r="Z205" t="str">
            <v>Indefinido</v>
          </cell>
        </row>
        <row r="206">
          <cell r="A206" t="str">
            <v>34951</v>
          </cell>
          <cell r="B206" t="str">
            <v>96962924</v>
          </cell>
          <cell r="C206" t="str">
            <v>ALFARO VILLAGRA JUAN ALBERTO</v>
          </cell>
          <cell r="D206" t="str">
            <v>Operador Mina</v>
          </cell>
          <cell r="E206" t="str">
            <v>Oper. 7X7 12 Hrs TAB G02</v>
          </cell>
          <cell r="F206" t="str">
            <v>Masculino</v>
          </cell>
          <cell r="G206" t="str">
            <v>JALFA012@CODELCO.CL</v>
          </cell>
          <cell r="H206">
            <v>63</v>
          </cell>
          <cell r="I206">
            <v>39587</v>
          </cell>
          <cell r="J206">
            <v>44837</v>
          </cell>
          <cell r="K206" t="str">
            <v>10</v>
          </cell>
          <cell r="L206">
            <v>43586</v>
          </cell>
          <cell r="M206">
            <v>39587</v>
          </cell>
          <cell r="N206">
            <v>40787</v>
          </cell>
          <cell r="O206">
            <v>40787</v>
          </cell>
          <cell r="P206">
            <v>46974</v>
          </cell>
          <cell r="Q206">
            <v>39587</v>
          </cell>
          <cell r="R206">
            <v>17</v>
          </cell>
          <cell r="S206">
            <v>39587</v>
          </cell>
          <cell r="T206" t="str">
            <v>ORTEGA ORTUYA CARLOS</v>
          </cell>
          <cell r="U206" t="str">
            <v>CORTE009@CODELCO.CL</v>
          </cell>
          <cell r="V206" t="str">
            <v>Gerencia de Operaciones</v>
          </cell>
          <cell r="W206" t="str">
            <v>Sptcia. Operacion Mina</v>
          </cell>
          <cell r="X206" t="str">
            <v>Sptcia. Operacion Mina</v>
          </cell>
          <cell r="Y206" t="str">
            <v>Operativo</v>
          </cell>
          <cell r="Z206" t="str">
            <v>Indefinido</v>
          </cell>
        </row>
        <row r="207">
          <cell r="A207" t="str">
            <v>34962</v>
          </cell>
          <cell r="B207" t="str">
            <v>136336118</v>
          </cell>
          <cell r="C207" t="str">
            <v>CABRERA BRAVO MANUEL ALEJANDRO</v>
          </cell>
          <cell r="D207" t="str">
            <v>Operador Planta AH</v>
          </cell>
          <cell r="E207" t="str">
            <v>Oper. 7X7 12 Hrs TAB G02</v>
          </cell>
          <cell r="F207" t="str">
            <v>Masculino</v>
          </cell>
          <cell r="G207" t="str">
            <v>MCABR007@CODELCO.CL</v>
          </cell>
          <cell r="H207">
            <v>46</v>
          </cell>
          <cell r="I207">
            <v>40497</v>
          </cell>
          <cell r="J207">
            <v>43252</v>
          </cell>
          <cell r="K207" t="str">
            <v>10</v>
          </cell>
          <cell r="L207">
            <v>42491</v>
          </cell>
          <cell r="M207">
            <v>40497</v>
          </cell>
          <cell r="N207">
            <v>37895</v>
          </cell>
          <cell r="O207">
            <v>37895</v>
          </cell>
          <cell r="P207">
            <v>52890</v>
          </cell>
          <cell r="Q207">
            <v>40497</v>
          </cell>
          <cell r="R207">
            <v>16</v>
          </cell>
          <cell r="S207">
            <v>40497</v>
          </cell>
          <cell r="T207" t="str">
            <v>CORREA MENDOZA CAMILA</v>
          </cell>
          <cell r="U207" t="str">
            <v>CCORR014@CODELCO.CL</v>
          </cell>
          <cell r="V207" t="str">
            <v>Gerencia de Operaciones</v>
          </cell>
          <cell r="W207" t="str">
            <v>Sptcia. Operacion Area Hum.</v>
          </cell>
          <cell r="X207" t="str">
            <v>Sx Ew y Patio de Embarque</v>
          </cell>
          <cell r="Y207" t="str">
            <v>Operativo</v>
          </cell>
          <cell r="Z207" t="str">
            <v>Indefinido</v>
          </cell>
        </row>
        <row r="208">
          <cell r="A208" t="str">
            <v>34977</v>
          </cell>
          <cell r="B208" t="str">
            <v>109654256</v>
          </cell>
          <cell r="C208" t="str">
            <v>JIRA ESPINOZA JOSE MANUEL</v>
          </cell>
          <cell r="D208" t="str">
            <v>Operador Planta AS</v>
          </cell>
          <cell r="E208" t="str">
            <v>Oper. 7X7 12 Hrs TAB G01</v>
          </cell>
          <cell r="F208" t="str">
            <v>Masculino</v>
          </cell>
          <cell r="G208" t="str">
            <v>JJIRA@CODELCO.CL</v>
          </cell>
          <cell r="H208">
            <v>47</v>
          </cell>
          <cell r="I208">
            <v>41974</v>
          </cell>
          <cell r="J208">
            <v>41974</v>
          </cell>
          <cell r="K208" t="str">
            <v>10</v>
          </cell>
          <cell r="L208">
            <v>44682</v>
          </cell>
          <cell r="M208">
            <v>41974</v>
          </cell>
          <cell r="N208">
            <v>41974</v>
          </cell>
          <cell r="O208">
            <v>41974</v>
          </cell>
          <cell r="P208">
            <v>52668</v>
          </cell>
          <cell r="Q208">
            <v>41974</v>
          </cell>
          <cell r="R208">
            <v>12</v>
          </cell>
          <cell r="S208">
            <v>41974</v>
          </cell>
          <cell r="T208" t="str">
            <v>CASTILLO OROSTICA ADRIANO BALTAZAR</v>
          </cell>
          <cell r="U208" t="str">
            <v>ACAST080@CODELCO.CL</v>
          </cell>
          <cell r="V208" t="str">
            <v>Gerencia de Operaciones</v>
          </cell>
          <cell r="W208" t="str">
            <v>Sptcia. Operacion Area Seca</v>
          </cell>
          <cell r="X208" t="str">
            <v>Sptcia. Operacion Area Seca</v>
          </cell>
          <cell r="Y208" t="str">
            <v>Operativo</v>
          </cell>
          <cell r="Z208" t="str">
            <v>Indefinido</v>
          </cell>
        </row>
        <row r="209">
          <cell r="A209" t="str">
            <v>35009</v>
          </cell>
          <cell r="B209" t="str">
            <v>100470772</v>
          </cell>
          <cell r="C209" t="str">
            <v>GARCIA TARIFEÑO HUGO PATRICIO</v>
          </cell>
          <cell r="D209" t="str">
            <v>Operador Mina</v>
          </cell>
          <cell r="E209" t="str">
            <v>Oper. 7X7 12 Hrs TAB G01</v>
          </cell>
          <cell r="F209" t="str">
            <v>Masculino</v>
          </cell>
          <cell r="G209" t="str">
            <v>HGARC010@CODELCO.CL</v>
          </cell>
          <cell r="H209">
            <v>59</v>
          </cell>
          <cell r="I209">
            <v>41183</v>
          </cell>
          <cell r="J209">
            <v>39569</v>
          </cell>
          <cell r="K209" t="str">
            <v>10</v>
          </cell>
          <cell r="L209">
            <v>45778</v>
          </cell>
          <cell r="M209">
            <v>41183</v>
          </cell>
          <cell r="N209">
            <v>36008</v>
          </cell>
          <cell r="O209">
            <v>35613</v>
          </cell>
          <cell r="P209">
            <v>48109</v>
          </cell>
          <cell r="Q209">
            <v>40917</v>
          </cell>
          <cell r="R209">
            <v>14</v>
          </cell>
          <cell r="S209">
            <v>41183</v>
          </cell>
          <cell r="T209" t="str">
            <v>ICETA BAEZA ANTONIO</v>
          </cell>
          <cell r="U209" t="str">
            <v>AICETA@CODELCO.CL</v>
          </cell>
          <cell r="V209" t="str">
            <v>Gerencia de Operaciones</v>
          </cell>
          <cell r="W209" t="str">
            <v>Sptcia. Operacion Mina</v>
          </cell>
          <cell r="X209" t="str">
            <v>Sptcia. Operacion Mina</v>
          </cell>
          <cell r="Y209" t="str">
            <v>Operativo</v>
          </cell>
          <cell r="Z209" t="str">
            <v>Indefinido</v>
          </cell>
        </row>
        <row r="210">
          <cell r="A210" t="str">
            <v>35025</v>
          </cell>
          <cell r="B210" t="str">
            <v>008580958K</v>
          </cell>
          <cell r="C210" t="str">
            <v>MONTENEGRO FLORES RAUL VICENTE</v>
          </cell>
          <cell r="D210" t="str">
            <v>Asistente de Muestreo y Sondaje</v>
          </cell>
          <cell r="E210" t="str">
            <v>Prof. 4X3 12 hrs</v>
          </cell>
          <cell r="F210" t="str">
            <v>Masculino</v>
          </cell>
          <cell r="G210" t="str">
            <v>RMONT006@CODELCO.CL</v>
          </cell>
          <cell r="H210">
            <v>68</v>
          </cell>
          <cell r="I210">
            <v>39234</v>
          </cell>
          <cell r="J210">
            <v>41974</v>
          </cell>
          <cell r="K210" t="str">
            <v>10</v>
          </cell>
          <cell r="L210">
            <v>45203</v>
          </cell>
          <cell r="M210">
            <v>39234</v>
          </cell>
          <cell r="N210">
            <v>41974</v>
          </cell>
          <cell r="O210">
            <v>41974</v>
          </cell>
          <cell r="P210">
            <v>45000</v>
          </cell>
          <cell r="Q210">
            <v>39264</v>
          </cell>
          <cell r="R210">
            <v>19</v>
          </cell>
          <cell r="S210">
            <v>39234</v>
          </cell>
          <cell r="T210" t="str">
            <v>NICOLAS VARGAS CLAUDIO ESTEBAN</v>
          </cell>
          <cell r="U210" t="str">
            <v>CNICOLAS@CODELCO.CL</v>
          </cell>
          <cell r="V210" t="str">
            <v>Gerencia de Recursos Mineros y Desarr</v>
          </cell>
          <cell r="W210" t="str">
            <v>Superintendencia Geologia</v>
          </cell>
          <cell r="X210" t="str">
            <v>Superintendencia Geologia</v>
          </cell>
          <cell r="Y210" t="str">
            <v>Operativo</v>
          </cell>
          <cell r="Z210" t="str">
            <v>Indefinido</v>
          </cell>
        </row>
        <row r="211">
          <cell r="A211" t="str">
            <v>35026</v>
          </cell>
          <cell r="B211" t="str">
            <v>89287316</v>
          </cell>
          <cell r="C211" t="str">
            <v>GUERRA BASULTO FERNANDO ALFONSO</v>
          </cell>
          <cell r="D211" t="str">
            <v>Asistente Geología</v>
          </cell>
          <cell r="E211" t="str">
            <v>Prof. 4X3 12 hrs</v>
          </cell>
          <cell r="F211" t="str">
            <v>Masculino</v>
          </cell>
          <cell r="G211" t="str">
            <v>FGUERRA@CODELCO.CL</v>
          </cell>
          <cell r="H211">
            <v>66</v>
          </cell>
          <cell r="I211">
            <v>39234</v>
          </cell>
          <cell r="J211">
            <v>41974</v>
          </cell>
          <cell r="K211" t="str">
            <v>9</v>
          </cell>
          <cell r="L211">
            <v>41852</v>
          </cell>
          <cell r="M211">
            <v>39234</v>
          </cell>
          <cell r="N211">
            <v>41974</v>
          </cell>
          <cell r="O211">
            <v>41974</v>
          </cell>
          <cell r="P211">
            <v>45973</v>
          </cell>
          <cell r="Q211">
            <v>39264</v>
          </cell>
          <cell r="R211">
            <v>19</v>
          </cell>
          <cell r="S211">
            <v>39234</v>
          </cell>
          <cell r="T211" t="str">
            <v>NICOLAS VARGAS CLAUDIO ESTEBAN</v>
          </cell>
          <cell r="U211" t="str">
            <v>CNICOLAS@CODELCO.CL</v>
          </cell>
          <cell r="V211" t="str">
            <v>Gerencia de Recursos Mineros y Desarr</v>
          </cell>
          <cell r="W211" t="str">
            <v>Superintendencia Geologia</v>
          </cell>
          <cell r="X211" t="str">
            <v>Superintendencia Geologia</v>
          </cell>
          <cell r="Y211" t="str">
            <v>Operativo</v>
          </cell>
          <cell r="Z211" t="str">
            <v>Indefinido</v>
          </cell>
        </row>
        <row r="212">
          <cell r="A212" t="str">
            <v>35027</v>
          </cell>
          <cell r="B212" t="str">
            <v>79796336</v>
          </cell>
          <cell r="C212" t="str">
            <v>GONZALEZ FLORES GUILLERMO ABRAHAM</v>
          </cell>
          <cell r="D212" t="str">
            <v>Asistente Planificacion Minera</v>
          </cell>
          <cell r="E212" t="str">
            <v>Prof. 4X3 12 hrs</v>
          </cell>
          <cell r="F212" t="str">
            <v>Masculino</v>
          </cell>
          <cell r="G212" t="str">
            <v>GGONZ004@CODELCO.CL</v>
          </cell>
          <cell r="H212">
            <v>65</v>
          </cell>
          <cell r="I212">
            <v>39234</v>
          </cell>
          <cell r="J212">
            <v>41883</v>
          </cell>
          <cell r="K212" t="str">
            <v>10</v>
          </cell>
          <cell r="L212">
            <v>43586</v>
          </cell>
          <cell r="M212">
            <v>39234</v>
          </cell>
          <cell r="N212">
            <v>38688</v>
          </cell>
          <cell r="O212">
            <v>38688</v>
          </cell>
          <cell r="P212">
            <v>46017</v>
          </cell>
          <cell r="Q212">
            <v>39264</v>
          </cell>
          <cell r="R212">
            <v>19</v>
          </cell>
          <cell r="S212">
            <v>39234</v>
          </cell>
          <cell r="T212" t="str">
            <v>CAFFARENA BARCENILLA FELIPE ALBERTO</v>
          </cell>
          <cell r="U212" t="str">
            <v>FCAFFARE@CODELCO.CL</v>
          </cell>
          <cell r="V212" t="str">
            <v>Gerencia de Recursos Mineros y Desarr</v>
          </cell>
          <cell r="W212" t="str">
            <v>Superintendencia Planificacion Minera</v>
          </cell>
          <cell r="X212" t="str">
            <v>Planificacion Mina Corto Plazo</v>
          </cell>
          <cell r="Y212" t="str">
            <v>Operativo</v>
          </cell>
          <cell r="Z212" t="str">
            <v>Indefinido</v>
          </cell>
        </row>
        <row r="213">
          <cell r="A213" t="str">
            <v>35246</v>
          </cell>
          <cell r="B213" t="str">
            <v>015714698K</v>
          </cell>
          <cell r="C213" t="str">
            <v>CACERES TRONCOSO EDGARDO ANTONIO</v>
          </cell>
          <cell r="D213" t="str">
            <v>Ing. Turno Op. Area Humeda</v>
          </cell>
          <cell r="E213" t="str">
            <v>Prof. 4X3 12 hrs</v>
          </cell>
          <cell r="F213" t="str">
            <v>Masculino</v>
          </cell>
          <cell r="G213" t="str">
            <v>ECACE001@CODELCO.CL</v>
          </cell>
          <cell r="H213">
            <v>42</v>
          </cell>
          <cell r="I213">
            <v>39448</v>
          </cell>
          <cell r="J213">
            <v>43891</v>
          </cell>
          <cell r="K213" t="str">
            <v>8</v>
          </cell>
          <cell r="L213">
            <v>45597</v>
          </cell>
          <cell r="M213">
            <v>39448</v>
          </cell>
          <cell r="N213">
            <v>41183</v>
          </cell>
          <cell r="O213">
            <v>41183</v>
          </cell>
          <cell r="P213">
            <v>54391</v>
          </cell>
          <cell r="Q213">
            <v>39448</v>
          </cell>
          <cell r="R213">
            <v>18</v>
          </cell>
          <cell r="S213">
            <v>39448</v>
          </cell>
          <cell r="T213" t="str">
            <v>RETAMAL ORTIZ JORGE</v>
          </cell>
          <cell r="U213" t="str">
            <v>JRETA003@CODELCO.CL</v>
          </cell>
          <cell r="V213" t="str">
            <v>Gerencia de Operaciones</v>
          </cell>
          <cell r="W213" t="str">
            <v>Sptcia. Operacion Area Hum.</v>
          </cell>
          <cell r="X213" t="str">
            <v>Sptcia. Operacion Area Hum.</v>
          </cell>
          <cell r="Y213" t="str">
            <v>Profesional</v>
          </cell>
          <cell r="Z213" t="str">
            <v>Indefinido</v>
          </cell>
        </row>
        <row r="214">
          <cell r="A214" t="str">
            <v>35283</v>
          </cell>
          <cell r="B214" t="str">
            <v>145973317</v>
          </cell>
          <cell r="C214" t="str">
            <v>MUÑOZ ALARCON VICTOR ANIBAL</v>
          </cell>
          <cell r="D214" t="str">
            <v>Ingeniero Mtto. Chancado y Apilamiento</v>
          </cell>
          <cell r="E214" t="str">
            <v>Oper. 7X7 12 Hrs TAB A05</v>
          </cell>
          <cell r="F214" t="str">
            <v>Masculino</v>
          </cell>
          <cell r="G214" t="str">
            <v>VMUNO009@CODELCO.CL</v>
          </cell>
          <cell r="H214">
            <v>45</v>
          </cell>
          <cell r="I214">
            <v>41883</v>
          </cell>
          <cell r="J214">
            <v>41883</v>
          </cell>
          <cell r="K214" t="str">
            <v>#</v>
          </cell>
          <cell r="L214">
            <v>43586</v>
          </cell>
          <cell r="M214">
            <v>41883</v>
          </cell>
          <cell r="N214">
            <v>41883</v>
          </cell>
          <cell r="O214">
            <v>41883</v>
          </cell>
          <cell r="P214">
            <v>53577</v>
          </cell>
          <cell r="Q214">
            <v>41883</v>
          </cell>
          <cell r="R214">
            <v>12</v>
          </cell>
          <cell r="S214">
            <v>41883</v>
          </cell>
          <cell r="T214" t="str">
            <v>GUTIÉRREZ VALENCIA JAVIERA PAZ</v>
          </cell>
          <cell r="U214" t="str">
            <v>JGUTI050@CODELCO.CL</v>
          </cell>
          <cell r="V214" t="str">
            <v>Gerencia de Mantenimiento</v>
          </cell>
          <cell r="W214" t="str">
            <v>Sptcia. Mtto. Area Seca</v>
          </cell>
          <cell r="X214" t="str">
            <v>Sptcia. Mtto. Area Seca</v>
          </cell>
          <cell r="Y214" t="str">
            <v>Profesional</v>
          </cell>
          <cell r="Z214" t="str">
            <v>Indefinido</v>
          </cell>
        </row>
        <row r="215">
          <cell r="A215" t="str">
            <v>35393</v>
          </cell>
          <cell r="B215" t="str">
            <v>130109969</v>
          </cell>
          <cell r="C215" t="str">
            <v>TORO VERGARA PATRICIA ALEJANDRA</v>
          </cell>
          <cell r="D215" t="str">
            <v>Profesional Servicios a las Personas</v>
          </cell>
          <cell r="E215" t="str">
            <v>Prof. 4X3 12 hrs</v>
          </cell>
          <cell r="F215" t="str">
            <v>Femenino</v>
          </cell>
          <cell r="G215" t="str">
            <v>PTORO003@CODELCO.CL</v>
          </cell>
          <cell r="H215">
            <v>48</v>
          </cell>
          <cell r="I215">
            <v>39315</v>
          </cell>
          <cell r="J215">
            <v>42128</v>
          </cell>
          <cell r="K215" t="str">
            <v>8</v>
          </cell>
          <cell r="L215">
            <v>45047</v>
          </cell>
          <cell r="M215">
            <v>39315</v>
          </cell>
          <cell r="N215">
            <v>42128</v>
          </cell>
          <cell r="O215">
            <v>42128</v>
          </cell>
          <cell r="P215">
            <v>50340</v>
          </cell>
          <cell r="Q215">
            <v>39314</v>
          </cell>
          <cell r="R215">
            <v>18</v>
          </cell>
          <cell r="S215">
            <v>39315</v>
          </cell>
          <cell r="T215" t="str">
            <v>Sin asignar</v>
          </cell>
          <cell r="U215" t="str">
            <v>Sin asignar</v>
          </cell>
          <cell r="V215" t="str">
            <v>Gerencia de Administración</v>
          </cell>
          <cell r="W215" t="str">
            <v>Direccion de Servicio a las Personas</v>
          </cell>
          <cell r="X215" t="str">
            <v>Direccion de Servicio a las Personas</v>
          </cell>
          <cell r="Y215" t="str">
            <v>Profesional</v>
          </cell>
          <cell r="Z215" t="str">
            <v>Indefinido</v>
          </cell>
        </row>
        <row r="216">
          <cell r="A216" t="str">
            <v>35652</v>
          </cell>
          <cell r="B216" t="str">
            <v>90644912</v>
          </cell>
          <cell r="C216" t="str">
            <v>AVALOS CHAVEZ ISAIAS DEL TRANSITO</v>
          </cell>
          <cell r="D216" t="str">
            <v>Operador Mayor Mina</v>
          </cell>
          <cell r="E216" t="str">
            <v>Oper. 7X7 12 Hrs TAB G03</v>
          </cell>
          <cell r="F216" t="str">
            <v>Masculino</v>
          </cell>
          <cell r="G216" t="str">
            <v>IAVALOS@CODELCO.CL</v>
          </cell>
          <cell r="H216">
            <v>61</v>
          </cell>
          <cell r="I216">
            <v>39295</v>
          </cell>
          <cell r="J216">
            <v>41974</v>
          </cell>
          <cell r="K216" t="str">
            <v>9</v>
          </cell>
          <cell r="L216">
            <v>41760</v>
          </cell>
          <cell r="M216">
            <v>39295</v>
          </cell>
          <cell r="N216">
            <v>41974</v>
          </cell>
          <cell r="O216">
            <v>41974</v>
          </cell>
          <cell r="P216">
            <v>47391</v>
          </cell>
          <cell r="Q216">
            <v>39295</v>
          </cell>
          <cell r="R216">
            <v>19</v>
          </cell>
          <cell r="S216">
            <v>39295</v>
          </cell>
          <cell r="T216" t="str">
            <v>VEGA ALMENDRA IGNACIA</v>
          </cell>
          <cell r="U216" t="str">
            <v>IVEGA004@CODELCO.CL</v>
          </cell>
          <cell r="V216" t="str">
            <v>Gerencia de Operaciones</v>
          </cell>
          <cell r="W216" t="str">
            <v>Sptcia. Operacion Mina</v>
          </cell>
          <cell r="X216" t="str">
            <v>Sptcia. Operacion Mina</v>
          </cell>
          <cell r="Y216" t="str">
            <v>Operativo</v>
          </cell>
          <cell r="Z216" t="str">
            <v>Indefinido</v>
          </cell>
        </row>
        <row r="217">
          <cell r="A217" t="str">
            <v>35810</v>
          </cell>
          <cell r="B217" t="str">
            <v>79220051</v>
          </cell>
          <cell r="C217" t="str">
            <v>PLAZA CAMPOS LUIS SALVADOR</v>
          </cell>
          <cell r="D217" t="str">
            <v>Jefe Funcional Geologia</v>
          </cell>
          <cell r="E217" t="str">
            <v>Prof. 4X3 12 hrs</v>
          </cell>
          <cell r="F217" t="str">
            <v>Masculino</v>
          </cell>
          <cell r="G217" t="str">
            <v>LPLAZA@CODELCO.CL</v>
          </cell>
          <cell r="H217">
            <v>65</v>
          </cell>
          <cell r="I217">
            <v>39264</v>
          </cell>
          <cell r="J217">
            <v>39995</v>
          </cell>
          <cell r="K217" t="str">
            <v>6</v>
          </cell>
          <cell r="L217">
            <v>42856</v>
          </cell>
          <cell r="M217">
            <v>39264</v>
          </cell>
          <cell r="N217">
            <v>39995</v>
          </cell>
          <cell r="O217">
            <v>39995</v>
          </cell>
          <cell r="P217">
            <v>45948</v>
          </cell>
          <cell r="Q217">
            <v>39264</v>
          </cell>
          <cell r="R217">
            <v>19</v>
          </cell>
          <cell r="S217">
            <v>39264</v>
          </cell>
          <cell r="T217" t="str">
            <v>NICOLAS VARGAS CLAUDIO ESTEBAN</v>
          </cell>
          <cell r="U217" t="str">
            <v>CNICOLAS@CODELCO.CL</v>
          </cell>
          <cell r="V217" t="str">
            <v>Gerencia de Recursos Mineros y Desarr</v>
          </cell>
          <cell r="W217" t="str">
            <v>Superintendencia Geologia</v>
          </cell>
          <cell r="X217" t="str">
            <v>Superintendencia Geologia</v>
          </cell>
          <cell r="Y217" t="str">
            <v>Profesional</v>
          </cell>
          <cell r="Z217" t="str">
            <v>Indefinido</v>
          </cell>
        </row>
        <row r="218">
          <cell r="A218" t="str">
            <v>36371</v>
          </cell>
          <cell r="B218" t="str">
            <v>153210322</v>
          </cell>
          <cell r="C218" t="str">
            <v>LAU Olmos EDUARDO</v>
          </cell>
          <cell r="D218" t="str">
            <v>Supdte. Operacion Area Seca</v>
          </cell>
          <cell r="E218" t="str">
            <v>Prof. 4X3 12 hrs</v>
          </cell>
          <cell r="F218" t="str">
            <v>Masculino</v>
          </cell>
          <cell r="G218" t="str">
            <v>ELAU@CODELCO.CL</v>
          </cell>
          <cell r="H218">
            <v>48</v>
          </cell>
          <cell r="I218">
            <v>45663</v>
          </cell>
          <cell r="J218">
            <v>45663</v>
          </cell>
          <cell r="K218" t="str">
            <v>4</v>
          </cell>
          <cell r="L218">
            <v>45663</v>
          </cell>
          <cell r="M218">
            <v>45663</v>
          </cell>
          <cell r="N218">
            <v>45663</v>
          </cell>
          <cell r="O218">
            <v>45663</v>
          </cell>
          <cell r="P218">
            <v>52538</v>
          </cell>
          <cell r="Q218">
            <v>45663</v>
          </cell>
          <cell r="R218">
            <v>1</v>
          </cell>
          <cell r="S218">
            <v>45663</v>
          </cell>
          <cell r="T218" t="str">
            <v>Sin asignar</v>
          </cell>
          <cell r="U218" t="str">
            <v>Sin asignar</v>
          </cell>
          <cell r="V218" t="str">
            <v>Gerencia de Operaciones</v>
          </cell>
          <cell r="W218" t="str">
            <v>Sptcia. Operacion Area Seca</v>
          </cell>
          <cell r="X218" t="str">
            <v>Sptcia. Operacion Area Seca</v>
          </cell>
          <cell r="Y218" t="str">
            <v>Profesional</v>
          </cell>
          <cell r="Z218" t="str">
            <v>Indefinido</v>
          </cell>
        </row>
        <row r="219">
          <cell r="A219" t="str">
            <v>36859</v>
          </cell>
          <cell r="B219" t="str">
            <v>141100440</v>
          </cell>
          <cell r="C219" t="str">
            <v>PERALTA CATAN JAVIER ANDRES</v>
          </cell>
          <cell r="D219" t="str">
            <v>Analista de Comercializacion</v>
          </cell>
          <cell r="E219" t="str">
            <v>Oper. 7X7 12 Hrs TAB A06</v>
          </cell>
          <cell r="F219" t="str">
            <v>Masculino</v>
          </cell>
          <cell r="G219" t="str">
            <v>JPERA005@CODELCO.CL</v>
          </cell>
          <cell r="H219">
            <v>45</v>
          </cell>
          <cell r="I219">
            <v>39539</v>
          </cell>
          <cell r="J219">
            <v>38299</v>
          </cell>
          <cell r="K219" t="str">
            <v>9</v>
          </cell>
          <cell r="L219">
            <v>45778</v>
          </cell>
          <cell r="M219">
            <v>39539</v>
          </cell>
          <cell r="N219">
            <v>38299</v>
          </cell>
          <cell r="O219">
            <v>38299</v>
          </cell>
          <cell r="P219">
            <v>53364</v>
          </cell>
          <cell r="Q219">
            <v>39461</v>
          </cell>
          <cell r="R219">
            <v>18</v>
          </cell>
          <cell r="S219">
            <v>39539</v>
          </cell>
          <cell r="T219" t="str">
            <v>PARRA QUIROZ VALENTINA ALEJANDRA</v>
          </cell>
          <cell r="U219" t="str">
            <v>VPARR006@CODELCO.CL</v>
          </cell>
          <cell r="V219" t="str">
            <v>Gerencia de Recursos Mineros y Desarr</v>
          </cell>
          <cell r="W219" t="str">
            <v>Superintendencia Planificacion Planta</v>
          </cell>
          <cell r="X219" t="str">
            <v>Superintendencia Planificacion Planta</v>
          </cell>
          <cell r="Y219" t="str">
            <v>Operativo</v>
          </cell>
          <cell r="Z219" t="str">
            <v>Indefinido</v>
          </cell>
        </row>
        <row r="220">
          <cell r="A220" t="str">
            <v>36933</v>
          </cell>
          <cell r="B220" t="str">
            <v>136043935</v>
          </cell>
          <cell r="C220" t="str">
            <v>VARGAS SANHUEZA MANUEL</v>
          </cell>
          <cell r="D220" t="str">
            <v>Supdte. Ingeniería de Procesos</v>
          </cell>
          <cell r="E220" t="str">
            <v>Prof. 4X3 12 hrs</v>
          </cell>
          <cell r="F220" t="str">
            <v>Masculino</v>
          </cell>
          <cell r="G220" t="str">
            <v>MVARG013@CODELCO.CL</v>
          </cell>
          <cell r="H220">
            <v>46</v>
          </cell>
          <cell r="I220">
            <v>45444</v>
          </cell>
          <cell r="J220">
            <v>45444</v>
          </cell>
          <cell r="K220" t="str">
            <v>#</v>
          </cell>
          <cell r="L220">
            <v>45931</v>
          </cell>
          <cell r="M220">
            <v>45444</v>
          </cell>
          <cell r="N220">
            <v>45444</v>
          </cell>
          <cell r="O220">
            <v>45444</v>
          </cell>
          <cell r="P220">
            <v>51391</v>
          </cell>
          <cell r="Q220">
            <v>38357</v>
          </cell>
          <cell r="R220">
            <v>2</v>
          </cell>
          <cell r="S220">
            <v>44662</v>
          </cell>
          <cell r="T220" t="str">
            <v>Sin asignar</v>
          </cell>
          <cell r="U220" t="str">
            <v>Sin asignar</v>
          </cell>
          <cell r="V220" t="str">
            <v>Gerencia de Operaciones</v>
          </cell>
          <cell r="W220" t="str">
            <v>Sptcia. Ingeniería de Procesos</v>
          </cell>
          <cell r="X220" t="str">
            <v>Sptcia. Ingeniería de Procesos</v>
          </cell>
          <cell r="Y220" t="str">
            <v>Profesional</v>
          </cell>
          <cell r="Z220" t="str">
            <v>Indefinido</v>
          </cell>
        </row>
        <row r="221">
          <cell r="A221" t="str">
            <v>37842</v>
          </cell>
          <cell r="B221" t="str">
            <v>99788291</v>
          </cell>
          <cell r="C221" t="str">
            <v>SARMIENTO RODRIGUEZ MARCOS</v>
          </cell>
          <cell r="D221" t="str">
            <v>Supdte. Operaciones Mina</v>
          </cell>
          <cell r="E221" t="str">
            <v>Prof. 4X3 12 hrs</v>
          </cell>
          <cell r="F221" t="str">
            <v>Masculino</v>
          </cell>
          <cell r="G221" t="str">
            <v>MSARM001@CODELCO.CL</v>
          </cell>
          <cell r="H221">
            <v>49</v>
          </cell>
          <cell r="I221">
            <v>45444</v>
          </cell>
          <cell r="J221">
            <v>45444</v>
          </cell>
          <cell r="K221" t="str">
            <v>4</v>
          </cell>
          <cell r="L221">
            <v>45444</v>
          </cell>
          <cell r="M221">
            <v>45444</v>
          </cell>
          <cell r="N221">
            <v>45444</v>
          </cell>
          <cell r="O221">
            <v>45444</v>
          </cell>
          <cell r="P221">
            <v>51998</v>
          </cell>
          <cell r="Q221">
            <v>45444</v>
          </cell>
          <cell r="R221">
            <v>2</v>
          </cell>
          <cell r="S221">
            <v>45444</v>
          </cell>
          <cell r="T221" t="str">
            <v>Sin asignar</v>
          </cell>
          <cell r="U221" t="str">
            <v>Sin asignar</v>
          </cell>
          <cell r="V221" t="str">
            <v>Gerencia de Operaciones</v>
          </cell>
          <cell r="W221" t="str">
            <v>Sptcia. Operacion Mina</v>
          </cell>
          <cell r="X221" t="str">
            <v>Sptcia. Operacion Mina</v>
          </cell>
          <cell r="Y221" t="str">
            <v>Profesional</v>
          </cell>
          <cell r="Z221" t="str">
            <v>Indefinido</v>
          </cell>
        </row>
        <row r="222">
          <cell r="A222" t="str">
            <v>38251</v>
          </cell>
          <cell r="B222" t="str">
            <v>119324882</v>
          </cell>
          <cell r="C222" t="str">
            <v>ARAYA BUGUEÑO JAIME LEONARDO</v>
          </cell>
          <cell r="D222" t="str">
            <v>Operador Planta AH</v>
          </cell>
          <cell r="E222" t="str">
            <v>Oper. 7X7 12 Hrs TAB G02</v>
          </cell>
          <cell r="F222" t="str">
            <v>Masculino</v>
          </cell>
          <cell r="G222" t="str">
            <v>JARAY068@CODELCO.CL</v>
          </cell>
          <cell r="H222">
            <v>54</v>
          </cell>
          <cell r="I222">
            <v>41156</v>
          </cell>
          <cell r="J222">
            <v>44531</v>
          </cell>
          <cell r="K222" t="str">
            <v>10</v>
          </cell>
          <cell r="L222">
            <v>43586</v>
          </cell>
          <cell r="M222">
            <v>41156</v>
          </cell>
          <cell r="N222">
            <v>44531</v>
          </cell>
          <cell r="O222">
            <v>44531</v>
          </cell>
          <cell r="P222">
            <v>50357</v>
          </cell>
          <cell r="Q222">
            <v>41156</v>
          </cell>
          <cell r="R222">
            <v>14</v>
          </cell>
          <cell r="S222">
            <v>41156</v>
          </cell>
          <cell r="T222" t="str">
            <v>ROJAS ESPINOZA MELISSA DEL CARMEN</v>
          </cell>
          <cell r="U222" t="str">
            <v>MROJA134@CODELCO.CL</v>
          </cell>
          <cell r="V222" t="str">
            <v>Gerencia de Operaciones</v>
          </cell>
          <cell r="W222" t="str">
            <v>Sptcia. Operacion Area Hum.</v>
          </cell>
          <cell r="X222" t="str">
            <v>Sx Ew y Patio de Embarque</v>
          </cell>
          <cell r="Y222" t="str">
            <v>Operativo</v>
          </cell>
          <cell r="Z222" t="str">
            <v>Indefinido</v>
          </cell>
        </row>
        <row r="223">
          <cell r="A223" t="str">
            <v>38266</v>
          </cell>
          <cell r="B223" t="str">
            <v>130107192</v>
          </cell>
          <cell r="C223" t="str">
            <v>GONZALEZ AVALOS LUCIANO JOSE</v>
          </cell>
          <cell r="D223" t="str">
            <v>Operador Planta AH</v>
          </cell>
          <cell r="E223" t="str">
            <v>Oper. 7X7 12 Hrs TAB G04</v>
          </cell>
          <cell r="F223" t="str">
            <v>Masculino</v>
          </cell>
          <cell r="G223" t="str">
            <v>LGONZ039@CODELCO.CL</v>
          </cell>
          <cell r="H223">
            <v>50</v>
          </cell>
          <cell r="I223">
            <v>39448</v>
          </cell>
          <cell r="J223">
            <v>38299</v>
          </cell>
          <cell r="K223" t="str">
            <v>10</v>
          </cell>
          <cell r="L223">
            <v>43586</v>
          </cell>
          <cell r="M223">
            <v>39448</v>
          </cell>
          <cell r="N223">
            <v>38299</v>
          </cell>
          <cell r="O223">
            <v>38299</v>
          </cell>
          <cell r="P223">
            <v>51698</v>
          </cell>
          <cell r="Q223">
            <v>39448</v>
          </cell>
          <cell r="R223">
            <v>18</v>
          </cell>
          <cell r="S223">
            <v>39448</v>
          </cell>
          <cell r="T223" t="str">
            <v>CORREA MENDOZA CAMILA</v>
          </cell>
          <cell r="U223" t="str">
            <v>CCORR014@CODELCO.CL</v>
          </cell>
          <cell r="V223" t="str">
            <v>Gerencia de Operaciones</v>
          </cell>
          <cell r="W223" t="str">
            <v>Sptcia. Operacion Area Hum.</v>
          </cell>
          <cell r="X223" t="str">
            <v>Sx Ew y Patio de Embarque</v>
          </cell>
          <cell r="Y223" t="str">
            <v>Operativo</v>
          </cell>
          <cell r="Z223" t="str">
            <v>Indefinido</v>
          </cell>
        </row>
        <row r="224">
          <cell r="A224" t="str">
            <v>38276</v>
          </cell>
          <cell r="B224" t="str">
            <v>010326376K</v>
          </cell>
          <cell r="C224" t="str">
            <v>ALMEIDA JARA KATHERINE ALEJANDRA</v>
          </cell>
          <cell r="D224" t="str">
            <v>Superintendente Planificación Metalúrgic</v>
          </cell>
          <cell r="E224" t="str">
            <v>Prof. 4X3 12 hrs</v>
          </cell>
          <cell r="F224" t="str">
            <v>Femenino</v>
          </cell>
          <cell r="G224" t="str">
            <v>KALMEIDA@CODELCO.CL</v>
          </cell>
          <cell r="H224">
            <v>52</v>
          </cell>
          <cell r="I224">
            <v>45782</v>
          </cell>
          <cell r="J224">
            <v>45782</v>
          </cell>
          <cell r="K224" t="str">
            <v>4</v>
          </cell>
          <cell r="L224">
            <v>45782</v>
          </cell>
          <cell r="M224">
            <v>45782</v>
          </cell>
          <cell r="N224">
            <v>45782</v>
          </cell>
          <cell r="O224">
            <v>45782</v>
          </cell>
          <cell r="P224">
            <v>49166</v>
          </cell>
          <cell r="Q224">
            <v>39461</v>
          </cell>
          <cell r="R224">
            <v>1</v>
          </cell>
          <cell r="S224">
            <v>45782</v>
          </cell>
          <cell r="T224" t="str">
            <v>AGUIRRE MENESES HUGO ANDRES</v>
          </cell>
          <cell r="U224" t="str">
            <v>HAGUI024@CODELCO.CL</v>
          </cell>
          <cell r="V224" t="str">
            <v>Gerencia de Recursos Mineros y Desarr</v>
          </cell>
          <cell r="W224" t="str">
            <v>Superintendencia Planificacion Planta</v>
          </cell>
          <cell r="X224" t="str">
            <v>Superintendencia Planificacion Planta</v>
          </cell>
          <cell r="Y224" t="str">
            <v>Profesional</v>
          </cell>
          <cell r="Z224" t="str">
            <v>Indefinido</v>
          </cell>
        </row>
        <row r="225">
          <cell r="A225" t="str">
            <v>38474</v>
          </cell>
          <cell r="B225" t="str">
            <v>117208125</v>
          </cell>
          <cell r="C225" t="str">
            <v>MACAYA CHINCHILLA FERNANDO ADOLFO</v>
          </cell>
          <cell r="D225" t="str">
            <v>Especialista Operativo AS</v>
          </cell>
          <cell r="E225" t="str">
            <v>Oper. 7X7 12 Hrs TAB G02</v>
          </cell>
          <cell r="F225" t="str">
            <v>Masculino</v>
          </cell>
          <cell r="G225" t="str">
            <v>FMACAYA@CODELCO.CL</v>
          </cell>
          <cell r="H225">
            <v>55</v>
          </cell>
          <cell r="I225">
            <v>39295</v>
          </cell>
          <cell r="J225">
            <v>39995</v>
          </cell>
          <cell r="K225" t="str">
            <v>9</v>
          </cell>
          <cell r="L225">
            <v>45413</v>
          </cell>
          <cell r="M225">
            <v>39295</v>
          </cell>
          <cell r="N225">
            <v>39995</v>
          </cell>
          <cell r="O225">
            <v>39995</v>
          </cell>
          <cell r="P225">
            <v>49830</v>
          </cell>
          <cell r="Q225">
            <v>39295</v>
          </cell>
          <cell r="R225">
            <v>19</v>
          </cell>
          <cell r="S225">
            <v>39295</v>
          </cell>
          <cell r="T225" t="str">
            <v>POBLETE ESPINOZA FRANCISCO JAVIER</v>
          </cell>
          <cell r="U225" t="str">
            <v>FPOBL005@CODELCO.CL</v>
          </cell>
          <cell r="V225" t="str">
            <v>Gerencia de Operaciones</v>
          </cell>
          <cell r="W225" t="str">
            <v>Sptcia. Operacion Area Seca</v>
          </cell>
          <cell r="X225" t="str">
            <v>Sptcia. Operacion Area Seca</v>
          </cell>
          <cell r="Y225" t="str">
            <v>Operativo</v>
          </cell>
          <cell r="Z225" t="str">
            <v>Indefinido</v>
          </cell>
        </row>
        <row r="226">
          <cell r="A226" t="str">
            <v>38572</v>
          </cell>
          <cell r="B226" t="str">
            <v>131726333</v>
          </cell>
          <cell r="C226" t="str">
            <v>OLIVARES ROCO RICARDO ALEX</v>
          </cell>
          <cell r="D226" t="str">
            <v>Especialista Operativo AS</v>
          </cell>
          <cell r="E226" t="str">
            <v>Oper. 7X7 12 Hrs TAB G03</v>
          </cell>
          <cell r="F226" t="str">
            <v>Masculino</v>
          </cell>
          <cell r="G226" t="str">
            <v>ROLIV017@CODELCO.CL</v>
          </cell>
          <cell r="H226">
            <v>48</v>
          </cell>
          <cell r="I226">
            <v>39387</v>
          </cell>
          <cell r="J226">
            <v>38453</v>
          </cell>
          <cell r="K226" t="str">
            <v>9</v>
          </cell>
          <cell r="L226">
            <v>43221</v>
          </cell>
          <cell r="M226">
            <v>39387</v>
          </cell>
          <cell r="N226">
            <v>38453</v>
          </cell>
          <cell r="O226">
            <v>38453</v>
          </cell>
          <cell r="P226">
            <v>52170</v>
          </cell>
          <cell r="Q226">
            <v>39387</v>
          </cell>
          <cell r="R226">
            <v>19</v>
          </cell>
          <cell r="S226">
            <v>39387</v>
          </cell>
          <cell r="T226" t="str">
            <v>POBLETE ESPINOZA FRANCISCO JAVIER</v>
          </cell>
          <cell r="U226" t="str">
            <v>FPOBL005@CODELCO.CL</v>
          </cell>
          <cell r="V226" t="str">
            <v>Gerencia de Operaciones</v>
          </cell>
          <cell r="W226" t="str">
            <v>Sptcia. Operacion Area Seca</v>
          </cell>
          <cell r="X226" t="str">
            <v>Sptcia. Operacion Area Seca</v>
          </cell>
          <cell r="Y226" t="str">
            <v>Operativo</v>
          </cell>
          <cell r="Z226" t="str">
            <v>Indefinido</v>
          </cell>
        </row>
        <row r="227">
          <cell r="A227" t="str">
            <v>38699</v>
          </cell>
          <cell r="B227" t="str">
            <v>83560800</v>
          </cell>
          <cell r="C227" t="str">
            <v>MAULEN PARRAGUEZ YERI WASHINGTON</v>
          </cell>
          <cell r="D227" t="str">
            <v>Operador Mayor Mina</v>
          </cell>
          <cell r="E227" t="str">
            <v>Oper. 7X7 12 Hrs TAB A05</v>
          </cell>
          <cell r="F227" t="str">
            <v>Masculino</v>
          </cell>
          <cell r="G227" t="str">
            <v>YMAULEN@CODELCO.CL</v>
          </cell>
          <cell r="H227">
            <v>57</v>
          </cell>
          <cell r="I227">
            <v>40960</v>
          </cell>
          <cell r="J227">
            <v>41365</v>
          </cell>
          <cell r="K227" t="str">
            <v>9</v>
          </cell>
          <cell r="L227">
            <v>45778</v>
          </cell>
          <cell r="M227">
            <v>40960</v>
          </cell>
          <cell r="N227">
            <v>38777</v>
          </cell>
          <cell r="O227">
            <v>39142</v>
          </cell>
          <cell r="P227">
            <v>49001</v>
          </cell>
          <cell r="Q227">
            <v>40960</v>
          </cell>
          <cell r="R227">
            <v>14</v>
          </cell>
          <cell r="S227">
            <v>40960</v>
          </cell>
          <cell r="T227" t="str">
            <v>ROJAS ROJAS MAURICIO ALEJANDRO</v>
          </cell>
          <cell r="U227" t="str">
            <v>MROJA074@CODELCO.CL</v>
          </cell>
          <cell r="V227" t="str">
            <v>Gerencia de Operaciones</v>
          </cell>
          <cell r="W227" t="str">
            <v>Sptcia. Operacion Area Seca</v>
          </cell>
          <cell r="X227" t="str">
            <v>Sptcia. Operacion Area Seca</v>
          </cell>
          <cell r="Y227" t="str">
            <v>Operativo</v>
          </cell>
          <cell r="Z227" t="str">
            <v>Indefinido</v>
          </cell>
        </row>
        <row r="228">
          <cell r="A228" t="str">
            <v>38977</v>
          </cell>
          <cell r="B228" t="str">
            <v>132170398</v>
          </cell>
          <cell r="C228" t="str">
            <v>RIVERA DIAZ RUBEN ALEJANDRO</v>
          </cell>
          <cell r="D228" t="str">
            <v>Analista Mantenimiento Electronicos</v>
          </cell>
          <cell r="E228" t="str">
            <v>Prof. 4X3 12 hrs</v>
          </cell>
          <cell r="F228" t="str">
            <v>Masculino</v>
          </cell>
          <cell r="G228" t="str">
            <v>RRIVE020@CODELCO.CL</v>
          </cell>
          <cell r="H228">
            <v>48</v>
          </cell>
          <cell r="I228">
            <v>40827</v>
          </cell>
          <cell r="J228">
            <v>45627</v>
          </cell>
          <cell r="K228" t="str">
            <v>9</v>
          </cell>
          <cell r="L228">
            <v>45778</v>
          </cell>
          <cell r="M228">
            <v>40827</v>
          </cell>
          <cell r="N228">
            <v>43095</v>
          </cell>
          <cell r="O228">
            <v>43095</v>
          </cell>
          <cell r="P228">
            <v>52071</v>
          </cell>
          <cell r="Q228">
            <v>40833</v>
          </cell>
          <cell r="R228">
            <v>15</v>
          </cell>
          <cell r="S228">
            <v>40827</v>
          </cell>
          <cell r="T228" t="str">
            <v>SILVA LARRAIN CESAR</v>
          </cell>
          <cell r="U228" t="str">
            <v>CSILV021@CODELCO.CL</v>
          </cell>
          <cell r="V228" t="str">
            <v>Gerencia de Mantenimiento</v>
          </cell>
          <cell r="W228" t="str">
            <v>Sptcia. Mtto. Area Humeda</v>
          </cell>
          <cell r="X228" t="str">
            <v>Sptcia. Mtto. Area Humeda</v>
          </cell>
          <cell r="Y228" t="str">
            <v>Operativo</v>
          </cell>
          <cell r="Z228" t="str">
            <v>Indefinido</v>
          </cell>
        </row>
        <row r="229">
          <cell r="A229" t="str">
            <v>38999</v>
          </cell>
          <cell r="B229" t="str">
            <v>119411017</v>
          </cell>
          <cell r="C229" t="str">
            <v>CARRASCO GUERRERO LEONARDO GERMAN</v>
          </cell>
          <cell r="D229" t="str">
            <v>Operador Mina</v>
          </cell>
          <cell r="E229" t="str">
            <v>Oper. 7X7 12 Hrs TAB G01</v>
          </cell>
          <cell r="F229" t="str">
            <v>Masculino</v>
          </cell>
          <cell r="G229" t="str">
            <v>LCARR005@CODELCO.CL</v>
          </cell>
          <cell r="H229">
            <v>54</v>
          </cell>
          <cell r="I229">
            <v>39295</v>
          </cell>
          <cell r="J229">
            <v>39995</v>
          </cell>
          <cell r="K229" t="str">
            <v>10</v>
          </cell>
          <cell r="L229">
            <v>45413</v>
          </cell>
          <cell r="M229">
            <v>39295</v>
          </cell>
          <cell r="N229">
            <v>39995</v>
          </cell>
          <cell r="O229">
            <v>39995</v>
          </cell>
          <cell r="P229">
            <v>50135</v>
          </cell>
          <cell r="Q229">
            <v>39295</v>
          </cell>
          <cell r="R229">
            <v>19</v>
          </cell>
          <cell r="S229">
            <v>39295</v>
          </cell>
          <cell r="T229" t="str">
            <v>ICETA BAEZA ANTONIO</v>
          </cell>
          <cell r="U229" t="str">
            <v>AICETA@CODELCO.CL</v>
          </cell>
          <cell r="V229" t="str">
            <v>Gerencia de Operaciones</v>
          </cell>
          <cell r="W229" t="str">
            <v>Sptcia. Operacion Mina</v>
          </cell>
          <cell r="X229" t="str">
            <v>Sptcia. Operacion Mina</v>
          </cell>
          <cell r="Y229" t="str">
            <v>Operativo</v>
          </cell>
          <cell r="Z229" t="str">
            <v>Indefinido</v>
          </cell>
        </row>
        <row r="230">
          <cell r="A230" t="str">
            <v>39001</v>
          </cell>
          <cell r="B230" t="str">
            <v>125671152</v>
          </cell>
          <cell r="C230" t="str">
            <v>BUGUEÑO SILVA RODRIGO MARCELO</v>
          </cell>
          <cell r="D230" t="str">
            <v>Operador Planta AS</v>
          </cell>
          <cell r="E230" t="str">
            <v>Oper. 7X7 12 Hrs TAB G03</v>
          </cell>
          <cell r="F230" t="str">
            <v>Masculino</v>
          </cell>
          <cell r="G230" t="str">
            <v>RBUGU003@CODELCO.CL</v>
          </cell>
          <cell r="H230">
            <v>52</v>
          </cell>
          <cell r="I230">
            <v>39295</v>
          </cell>
          <cell r="J230">
            <v>39995</v>
          </cell>
          <cell r="K230" t="str">
            <v>10</v>
          </cell>
          <cell r="L230">
            <v>41760</v>
          </cell>
          <cell r="M230">
            <v>39295</v>
          </cell>
          <cell r="N230">
            <v>39995</v>
          </cell>
          <cell r="O230">
            <v>39995</v>
          </cell>
          <cell r="P230">
            <v>51050</v>
          </cell>
          <cell r="Q230">
            <v>39295</v>
          </cell>
          <cell r="R230">
            <v>19</v>
          </cell>
          <cell r="S230">
            <v>39295</v>
          </cell>
          <cell r="T230" t="str">
            <v>VILCA LLAVE ALBERT ANTONIO</v>
          </cell>
          <cell r="U230" t="str">
            <v>AVILC003@CODELCO.CL</v>
          </cell>
          <cell r="V230" t="str">
            <v>Gerencia de Operaciones</v>
          </cell>
          <cell r="W230" t="str">
            <v>Sptcia. Operacion Area Seca</v>
          </cell>
          <cell r="X230" t="str">
            <v>Sptcia. Operacion Area Seca</v>
          </cell>
          <cell r="Y230" t="str">
            <v>Operativo</v>
          </cell>
          <cell r="Z230" t="str">
            <v>Indefinido</v>
          </cell>
        </row>
        <row r="231">
          <cell r="A231" t="str">
            <v>39164</v>
          </cell>
          <cell r="B231" t="str">
            <v>134175478</v>
          </cell>
          <cell r="C231" t="str">
            <v>LIRA CASTRO DANIEL EDUARDO</v>
          </cell>
          <cell r="D231" t="str">
            <v>Operador Planta AH</v>
          </cell>
          <cell r="E231" t="str">
            <v>Oper. 7X7 12 Hrs TAB G03</v>
          </cell>
          <cell r="F231" t="str">
            <v>Masculino</v>
          </cell>
          <cell r="G231" t="str">
            <v>DLIRA@CODELCO.CL</v>
          </cell>
          <cell r="H231">
            <v>49</v>
          </cell>
          <cell r="I231">
            <v>39753</v>
          </cell>
          <cell r="J231">
            <v>38534</v>
          </cell>
          <cell r="K231" t="str">
            <v>10</v>
          </cell>
          <cell r="L231">
            <v>41030</v>
          </cell>
          <cell r="M231">
            <v>39753</v>
          </cell>
          <cell r="N231">
            <v>38534</v>
          </cell>
          <cell r="O231">
            <v>38534</v>
          </cell>
          <cell r="P231">
            <v>52141</v>
          </cell>
          <cell r="Q231">
            <v>39664</v>
          </cell>
          <cell r="R231">
            <v>18</v>
          </cell>
          <cell r="S231">
            <v>39753</v>
          </cell>
          <cell r="T231" t="str">
            <v>NAVARRO CARVAJAL JUAN FRANCISCO</v>
          </cell>
          <cell r="U231" t="str">
            <v>JNAVA020@CODELCO.CL</v>
          </cell>
          <cell r="V231" t="str">
            <v>Gerencia de Operaciones</v>
          </cell>
          <cell r="W231" t="str">
            <v>Sptcia. Operacion Area Hum.</v>
          </cell>
          <cell r="X231" t="str">
            <v>Sx Ew y Patio de Embarque</v>
          </cell>
          <cell r="Y231" t="str">
            <v>Operativo</v>
          </cell>
          <cell r="Z231" t="str">
            <v>Indefinido</v>
          </cell>
        </row>
        <row r="232">
          <cell r="A232" t="str">
            <v>39200</v>
          </cell>
          <cell r="B232" t="str">
            <v>145611164</v>
          </cell>
          <cell r="C232" t="str">
            <v>ROJAS CHAVEZ VICTOR HUGO</v>
          </cell>
          <cell r="D232" t="str">
            <v>Operador Mina</v>
          </cell>
          <cell r="E232" t="str">
            <v>Oper. 7X7 12 Hrs TAB G03</v>
          </cell>
          <cell r="F232" t="str">
            <v>Masculino</v>
          </cell>
          <cell r="G232" t="str">
            <v>VROJA014@CODELCO.CL</v>
          </cell>
          <cell r="H232">
            <v>50</v>
          </cell>
          <cell r="I232">
            <v>41183</v>
          </cell>
          <cell r="J232">
            <v>39995</v>
          </cell>
          <cell r="K232" t="str">
            <v>10</v>
          </cell>
          <cell r="L232">
            <v>45413</v>
          </cell>
          <cell r="M232">
            <v>41183</v>
          </cell>
          <cell r="N232">
            <v>39995</v>
          </cell>
          <cell r="O232">
            <v>39995</v>
          </cell>
          <cell r="P232">
            <v>51426</v>
          </cell>
          <cell r="Q232">
            <v>40840</v>
          </cell>
          <cell r="R232">
            <v>14</v>
          </cell>
          <cell r="S232">
            <v>41183</v>
          </cell>
          <cell r="T232" t="str">
            <v>ZUMELZU BRAVO MARYLIN</v>
          </cell>
          <cell r="U232" t="str">
            <v>MZUME001@CODELCO.CL</v>
          </cell>
          <cell r="V232" t="str">
            <v>Gerencia de Operaciones</v>
          </cell>
          <cell r="W232" t="str">
            <v>Sptcia. Operacion Mina</v>
          </cell>
          <cell r="X232" t="str">
            <v>Sptcia. Operacion Mina</v>
          </cell>
          <cell r="Y232" t="str">
            <v>Operativo</v>
          </cell>
          <cell r="Z232" t="str">
            <v>Indefinido</v>
          </cell>
        </row>
        <row r="233">
          <cell r="A233" t="str">
            <v>39302</v>
          </cell>
          <cell r="B233" t="str">
            <v>015015961K</v>
          </cell>
          <cell r="C233" t="str">
            <v>VILCA LLAVE ALBERT ANTONIO</v>
          </cell>
          <cell r="D233" t="str">
            <v>Ing. Turno Op. Ripios</v>
          </cell>
          <cell r="E233" t="str">
            <v>Oper. 7X7 12 Hrs TAB G03</v>
          </cell>
          <cell r="F233" t="str">
            <v>Masculino</v>
          </cell>
          <cell r="G233" t="str">
            <v>AVILC003@CODELCO.CL</v>
          </cell>
          <cell r="H233">
            <v>44</v>
          </cell>
          <cell r="I233">
            <v>39295</v>
          </cell>
          <cell r="J233">
            <v>42583</v>
          </cell>
          <cell r="K233" t="str">
            <v>8</v>
          </cell>
          <cell r="L233">
            <v>45597</v>
          </cell>
          <cell r="M233">
            <v>39295</v>
          </cell>
          <cell r="N233">
            <v>38231</v>
          </cell>
          <cell r="O233">
            <v>38231</v>
          </cell>
          <cell r="P233">
            <v>54027</v>
          </cell>
          <cell r="Q233">
            <v>39295</v>
          </cell>
          <cell r="R233">
            <v>19</v>
          </cell>
          <cell r="S233">
            <v>39295</v>
          </cell>
          <cell r="T233" t="str">
            <v>VILLARROEL FERNÁNDEZ IGNACIO ANTONIO</v>
          </cell>
          <cell r="U233" t="str">
            <v>IVILL015@CODELCO.CL</v>
          </cell>
          <cell r="V233" t="str">
            <v>Gerencia de Operaciones</v>
          </cell>
          <cell r="W233" t="str">
            <v>Sptcia. Operacion Area Seca</v>
          </cell>
          <cell r="X233" t="str">
            <v>Sptcia. Operacion Area Seca</v>
          </cell>
          <cell r="Y233" t="str">
            <v>Profesional</v>
          </cell>
          <cell r="Z233" t="str">
            <v>Indefinido</v>
          </cell>
        </row>
        <row r="234">
          <cell r="A234" t="str">
            <v>39320</v>
          </cell>
          <cell r="B234" t="str">
            <v>126199953</v>
          </cell>
          <cell r="C234" t="str">
            <v>LOYOLA RIVERA JORGE PATRICIO</v>
          </cell>
          <cell r="D234" t="str">
            <v>Operador Mayor</v>
          </cell>
          <cell r="E234" t="str">
            <v>Oper. 7X7 12 Hrs TAB A06</v>
          </cell>
          <cell r="F234" t="str">
            <v>Masculino</v>
          </cell>
          <cell r="G234" t="str">
            <v>JLOYO006@CODELCO.CL</v>
          </cell>
          <cell r="H234">
            <v>51</v>
          </cell>
          <cell r="I234">
            <v>39295</v>
          </cell>
          <cell r="J234">
            <v>45733</v>
          </cell>
          <cell r="K234" t="str">
            <v>9</v>
          </cell>
          <cell r="L234">
            <v>40909</v>
          </cell>
          <cell r="M234">
            <v>39295</v>
          </cell>
          <cell r="N234">
            <v>45733</v>
          </cell>
          <cell r="O234">
            <v>45733</v>
          </cell>
          <cell r="P234">
            <v>50979</v>
          </cell>
          <cell r="Q234">
            <v>39295</v>
          </cell>
          <cell r="R234">
            <v>19</v>
          </cell>
          <cell r="S234">
            <v>39295</v>
          </cell>
          <cell r="T234" t="str">
            <v>VILLARROEL FERNÁNDEZ IGNACIO ANTONIO</v>
          </cell>
          <cell r="U234" t="str">
            <v>IVILL015@CODELCO.CL</v>
          </cell>
          <cell r="V234" t="str">
            <v>Gerencia de Operaciones</v>
          </cell>
          <cell r="W234" t="str">
            <v>Sptcia. Operacion Area Seca</v>
          </cell>
          <cell r="X234" t="str">
            <v>Sptcia. Operacion Area Seca</v>
          </cell>
          <cell r="Y234" t="str">
            <v>Operativo</v>
          </cell>
          <cell r="Z234" t="str">
            <v>Indefinido</v>
          </cell>
        </row>
        <row r="235">
          <cell r="A235" t="str">
            <v>44951</v>
          </cell>
          <cell r="B235" t="str">
            <v>140990922</v>
          </cell>
          <cell r="C235" t="str">
            <v>RAMOS ARAYA FERNANDO DAVID</v>
          </cell>
          <cell r="D235" t="str">
            <v>Operador Planta AH</v>
          </cell>
          <cell r="E235" t="str">
            <v>Oper. 7X7 12 Hrs TAB G03</v>
          </cell>
          <cell r="F235" t="str">
            <v>Masculino</v>
          </cell>
          <cell r="G235" t="str">
            <v>FRAMO003@CODELCO.CL</v>
          </cell>
          <cell r="H235">
            <v>45</v>
          </cell>
          <cell r="I235">
            <v>39448</v>
          </cell>
          <cell r="J235">
            <v>40756</v>
          </cell>
          <cell r="K235" t="str">
            <v>10</v>
          </cell>
          <cell r="L235">
            <v>42186</v>
          </cell>
          <cell r="M235">
            <v>39448</v>
          </cell>
          <cell r="N235">
            <v>40756</v>
          </cell>
          <cell r="O235">
            <v>40756</v>
          </cell>
          <cell r="P235">
            <v>53343</v>
          </cell>
          <cell r="Q235">
            <v>39448</v>
          </cell>
          <cell r="R235">
            <v>18</v>
          </cell>
          <cell r="S235">
            <v>39448</v>
          </cell>
          <cell r="T235" t="str">
            <v>NAVARRO CARVAJAL JUAN FRANCISCO</v>
          </cell>
          <cell r="U235" t="str">
            <v>JNAVA020@CODELCO.CL</v>
          </cell>
          <cell r="V235" t="str">
            <v>Gerencia de Operaciones</v>
          </cell>
          <cell r="W235" t="str">
            <v>Sptcia. Operacion Area Hum.</v>
          </cell>
          <cell r="X235" t="str">
            <v>Sx Ew y Patio de Embarque</v>
          </cell>
          <cell r="Y235" t="str">
            <v>Operativo</v>
          </cell>
          <cell r="Z235" t="str">
            <v>Indefinido</v>
          </cell>
        </row>
        <row r="236">
          <cell r="A236" t="str">
            <v>47232</v>
          </cell>
          <cell r="B236" t="str">
            <v>134198737</v>
          </cell>
          <cell r="C236" t="str">
            <v>AHUMADA MORALES FRANCISCO JAVIER</v>
          </cell>
          <cell r="D236" t="str">
            <v>Operador Planta AH</v>
          </cell>
          <cell r="E236" t="str">
            <v>Oper. 7X7 12 Hrs TAB G04</v>
          </cell>
          <cell r="F236" t="str">
            <v>Masculino</v>
          </cell>
          <cell r="G236" t="str">
            <v>FAHUM002@CODELCO.CL</v>
          </cell>
          <cell r="H236">
            <v>47</v>
          </cell>
          <cell r="I236">
            <v>39448</v>
          </cell>
          <cell r="J236">
            <v>40452</v>
          </cell>
          <cell r="K236" t="str">
            <v>10</v>
          </cell>
          <cell r="L236">
            <v>41000</v>
          </cell>
          <cell r="M236">
            <v>39448</v>
          </cell>
          <cell r="N236">
            <v>38473</v>
          </cell>
          <cell r="O236">
            <v>38473</v>
          </cell>
          <cell r="P236">
            <v>52373</v>
          </cell>
          <cell r="Q236">
            <v>39448</v>
          </cell>
          <cell r="R236">
            <v>18</v>
          </cell>
          <cell r="S236">
            <v>39448</v>
          </cell>
          <cell r="T236" t="str">
            <v>CORREA MENDOZA CAMILA</v>
          </cell>
          <cell r="U236" t="str">
            <v>CCORR014@CODELCO.CL</v>
          </cell>
          <cell r="V236" t="str">
            <v>Gerencia de Operaciones</v>
          </cell>
          <cell r="W236" t="str">
            <v>Sptcia. Operacion Area Hum.</v>
          </cell>
          <cell r="X236" t="str">
            <v>Sx Ew y Patio de Embarque</v>
          </cell>
          <cell r="Y236" t="str">
            <v>Operativo</v>
          </cell>
          <cell r="Z236" t="str">
            <v>Indefinido</v>
          </cell>
        </row>
        <row r="237">
          <cell r="A237" t="str">
            <v>47238</v>
          </cell>
          <cell r="B237" t="str">
            <v>113774568</v>
          </cell>
          <cell r="C237" t="str">
            <v>ZULETA AHUMADA YERMY ANGEL</v>
          </cell>
          <cell r="D237" t="str">
            <v>Operador Planta AH</v>
          </cell>
          <cell r="E237" t="str">
            <v>Oper. 7X7 12 Hrs TAB A06</v>
          </cell>
          <cell r="F237" t="str">
            <v>Masculino</v>
          </cell>
          <cell r="G237" t="str">
            <v>YZULETA@CODELCO.CL</v>
          </cell>
          <cell r="H237">
            <v>57</v>
          </cell>
          <cell r="I237">
            <v>41128</v>
          </cell>
          <cell r="J237">
            <v>40756</v>
          </cell>
          <cell r="K237" t="str">
            <v>10</v>
          </cell>
          <cell r="L237">
            <v>44682</v>
          </cell>
          <cell r="M237">
            <v>41128</v>
          </cell>
          <cell r="N237">
            <v>40756</v>
          </cell>
          <cell r="O237">
            <v>40756</v>
          </cell>
          <cell r="P237">
            <v>49230</v>
          </cell>
          <cell r="Q237">
            <v>41128</v>
          </cell>
          <cell r="R237">
            <v>14</v>
          </cell>
          <cell r="S237">
            <v>41128</v>
          </cell>
          <cell r="T237" t="str">
            <v>SOTO MEJIAS ESTEBAN</v>
          </cell>
          <cell r="U237" t="str">
            <v>ESOTO018@CODELCO.CL</v>
          </cell>
          <cell r="V237" t="str">
            <v>Gerencia de Operaciones</v>
          </cell>
          <cell r="W237" t="str">
            <v>Sptcia. Operacion Area Hum.</v>
          </cell>
          <cell r="X237" t="str">
            <v>Sx Ew y Patio de Embarque</v>
          </cell>
          <cell r="Y237" t="str">
            <v>Operativo</v>
          </cell>
          <cell r="Z237" t="str">
            <v>Indefinido</v>
          </cell>
        </row>
        <row r="238">
          <cell r="A238" t="str">
            <v>48564</v>
          </cell>
          <cell r="B238" t="str">
            <v>150170176</v>
          </cell>
          <cell r="C238" t="str">
            <v>PRIETO AHUMADA DANIEL ALBERTO</v>
          </cell>
          <cell r="D238" t="str">
            <v>Operador Mina</v>
          </cell>
          <cell r="E238" t="str">
            <v>Oper. 7X7 12 Hrs TAB G01</v>
          </cell>
          <cell r="F238" t="str">
            <v>Masculino</v>
          </cell>
          <cell r="G238" t="str">
            <v>DPRIE002@CODELCO.CL</v>
          </cell>
          <cell r="H238">
            <v>44</v>
          </cell>
          <cell r="I238">
            <v>39448</v>
          </cell>
          <cell r="J238">
            <v>40452</v>
          </cell>
          <cell r="K238" t="str">
            <v>10</v>
          </cell>
          <cell r="L238">
            <v>40909</v>
          </cell>
          <cell r="M238">
            <v>39448</v>
          </cell>
          <cell r="N238">
            <v>38473</v>
          </cell>
          <cell r="O238">
            <v>38473</v>
          </cell>
          <cell r="P238">
            <v>53728</v>
          </cell>
          <cell r="Q238">
            <v>39448</v>
          </cell>
          <cell r="R238">
            <v>18</v>
          </cell>
          <cell r="S238">
            <v>39448</v>
          </cell>
          <cell r="T238" t="str">
            <v>ICETA BAEZA ANTONIO</v>
          </cell>
          <cell r="U238" t="str">
            <v>AICETA@CODELCO.CL</v>
          </cell>
          <cell r="V238" t="str">
            <v>Gerencia de Operaciones</v>
          </cell>
          <cell r="W238" t="str">
            <v>Sptcia. Operacion Mina</v>
          </cell>
          <cell r="X238" t="str">
            <v>Sptcia. Operacion Mina</v>
          </cell>
          <cell r="Y238" t="str">
            <v>Operativo</v>
          </cell>
          <cell r="Z238" t="str">
            <v>Indefinido</v>
          </cell>
        </row>
        <row r="239">
          <cell r="A239" t="str">
            <v>48574</v>
          </cell>
          <cell r="B239" t="str">
            <v>145164370</v>
          </cell>
          <cell r="C239" t="str">
            <v>ARIAS HONORES YAMILET PAMELA</v>
          </cell>
          <cell r="D239" t="str">
            <v>Operador Mina</v>
          </cell>
          <cell r="E239" t="str">
            <v>Oper. 7X7 12 Hrs TAB A06</v>
          </cell>
          <cell r="F239" t="str">
            <v>Femenino</v>
          </cell>
          <cell r="G239" t="str">
            <v>YARIAS@CODELCO.CL</v>
          </cell>
          <cell r="H239">
            <v>51</v>
          </cell>
          <cell r="I239">
            <v>39734</v>
          </cell>
          <cell r="J239">
            <v>39569</v>
          </cell>
          <cell r="K239" t="str">
            <v>10</v>
          </cell>
          <cell r="L239">
            <v>43586</v>
          </cell>
          <cell r="M239">
            <v>39734</v>
          </cell>
          <cell r="N239">
            <v>39569</v>
          </cell>
          <cell r="O239">
            <v>39569</v>
          </cell>
          <cell r="P239">
            <v>49536</v>
          </cell>
          <cell r="Q239">
            <v>39741</v>
          </cell>
          <cell r="R239">
            <v>18</v>
          </cell>
          <cell r="S239">
            <v>39734</v>
          </cell>
          <cell r="T239" t="str">
            <v>VEGA ALMENDRA IGNACIA</v>
          </cell>
          <cell r="U239" t="str">
            <v>IVEGA004@CODELCO.CL</v>
          </cell>
          <cell r="V239" t="str">
            <v>Gerencia de Operaciones</v>
          </cell>
          <cell r="W239" t="str">
            <v>Sptcia. Operacion Mina</v>
          </cell>
          <cell r="X239" t="str">
            <v>Sptcia. Operacion Mina</v>
          </cell>
          <cell r="Y239" t="str">
            <v>Operativo</v>
          </cell>
          <cell r="Z239" t="str">
            <v>Indefinido</v>
          </cell>
        </row>
        <row r="240">
          <cell r="A240" t="str">
            <v>49810</v>
          </cell>
          <cell r="B240" t="str">
            <v>141092995</v>
          </cell>
          <cell r="C240" t="str">
            <v>LIRA CASTRO MAURICIO ALEJANDRO</v>
          </cell>
          <cell r="D240" t="str">
            <v>Operador Planta AH</v>
          </cell>
          <cell r="E240" t="str">
            <v>Oper. 7X7 12 Hrs TAB A05</v>
          </cell>
          <cell r="F240" t="str">
            <v>Masculino</v>
          </cell>
          <cell r="G240" t="str">
            <v>MLIRA004@CODELCO.CL</v>
          </cell>
          <cell r="H240">
            <v>45</v>
          </cell>
          <cell r="I240">
            <v>41052</v>
          </cell>
          <cell r="J240">
            <v>39142</v>
          </cell>
          <cell r="K240" t="str">
            <v>10</v>
          </cell>
          <cell r="L240">
            <v>45413</v>
          </cell>
          <cell r="M240">
            <v>41052</v>
          </cell>
          <cell r="N240">
            <v>36008</v>
          </cell>
          <cell r="O240">
            <v>35562</v>
          </cell>
          <cell r="P240">
            <v>53546</v>
          </cell>
          <cell r="Q240">
            <v>41052</v>
          </cell>
          <cell r="R240">
            <v>13</v>
          </cell>
          <cell r="S240">
            <v>41052</v>
          </cell>
          <cell r="T240" t="str">
            <v>CACERES TRONCOSO EDGARDO ANTONIO</v>
          </cell>
          <cell r="U240" t="str">
            <v>ECACE001@CODELCO.CL</v>
          </cell>
          <cell r="V240" t="str">
            <v>Gerencia de Operaciones</v>
          </cell>
          <cell r="W240" t="str">
            <v>Sptcia. Operacion Area Hum.</v>
          </cell>
          <cell r="X240" t="str">
            <v>Aglomeracion y Lixiviacion</v>
          </cell>
          <cell r="Y240" t="str">
            <v>Operativo</v>
          </cell>
          <cell r="Z240" t="str">
            <v>Indefinido</v>
          </cell>
        </row>
        <row r="241">
          <cell r="A241" t="str">
            <v>50221</v>
          </cell>
          <cell r="B241" t="str">
            <v>150194822</v>
          </cell>
          <cell r="C241" t="str">
            <v>ROJAS ROJAS MAURICIO ALEJANDRO</v>
          </cell>
          <cell r="D241" t="str">
            <v>Ing. Especialista Apilamiento</v>
          </cell>
          <cell r="E241" t="str">
            <v>Prof. 4X3 12 hrs</v>
          </cell>
          <cell r="F241" t="str">
            <v>Masculino</v>
          </cell>
          <cell r="G241" t="str">
            <v>MROJA074@CODELCO.CL</v>
          </cell>
          <cell r="H241">
            <v>44</v>
          </cell>
          <cell r="I241">
            <v>40848</v>
          </cell>
          <cell r="J241">
            <v>42979</v>
          </cell>
          <cell r="K241" t="str">
            <v>6</v>
          </cell>
          <cell r="L241">
            <v>45597</v>
          </cell>
          <cell r="M241">
            <v>40848</v>
          </cell>
          <cell r="N241">
            <v>45126</v>
          </cell>
          <cell r="O241">
            <v>40616</v>
          </cell>
          <cell r="P241">
            <v>53773</v>
          </cell>
          <cell r="Q241">
            <v>40757</v>
          </cell>
          <cell r="R241">
            <v>15</v>
          </cell>
          <cell r="S241">
            <v>40848</v>
          </cell>
          <cell r="T241" t="str">
            <v>LAU Olmos EDUARDO</v>
          </cell>
          <cell r="U241" t="str">
            <v>ELAU@CODELCO.CL</v>
          </cell>
          <cell r="V241" t="str">
            <v>Gerencia de Operaciones</v>
          </cell>
          <cell r="W241" t="str">
            <v>Sptcia. Operacion Area Seca</v>
          </cell>
          <cell r="X241" t="str">
            <v>Sptcia. Operacion Area Seca</v>
          </cell>
          <cell r="Y241" t="str">
            <v>Profesional</v>
          </cell>
          <cell r="Z241" t="str">
            <v>Indefinido</v>
          </cell>
        </row>
        <row r="242">
          <cell r="A242" t="str">
            <v>50934</v>
          </cell>
          <cell r="B242" t="str">
            <v>116108690</v>
          </cell>
          <cell r="C242" t="str">
            <v>JIMENEZ ROJAS GABRIEL ENRIQUE</v>
          </cell>
          <cell r="D242" t="str">
            <v>Vigilante Privado</v>
          </cell>
          <cell r="E242" t="str">
            <v>Oper. 7X7 12 Hrs TAB A05</v>
          </cell>
          <cell r="F242" t="str">
            <v>Masculino</v>
          </cell>
          <cell r="G242" t="str">
            <v>GJIME001@CODELCO.CL</v>
          </cell>
          <cell r="H242">
            <v>56</v>
          </cell>
          <cell r="I242">
            <v>41198</v>
          </cell>
          <cell r="J242">
            <v>45112</v>
          </cell>
          <cell r="K242" t="str">
            <v>10</v>
          </cell>
          <cell r="L242">
            <v>44866</v>
          </cell>
          <cell r="M242">
            <v>41198</v>
          </cell>
          <cell r="N242">
            <v>40848</v>
          </cell>
          <cell r="O242">
            <v>40544</v>
          </cell>
          <cell r="P242">
            <v>49381</v>
          </cell>
          <cell r="Q242">
            <v>41198</v>
          </cell>
          <cell r="R242">
            <v>14</v>
          </cell>
          <cell r="S242">
            <v>41198</v>
          </cell>
          <cell r="T242" t="str">
            <v>GOMEZ LOBOS RODRIGO ANTONIO</v>
          </cell>
          <cell r="U242" t="str">
            <v>RGOME025@CODELCO.CL</v>
          </cell>
          <cell r="V242" t="str">
            <v>Gerencia de Seguridad y Salud Ocup.</v>
          </cell>
          <cell r="W242" t="str">
            <v>Proteccion Industrial</v>
          </cell>
          <cell r="X242" t="str">
            <v>Proteccion Industrial</v>
          </cell>
          <cell r="Y242" t="str">
            <v>Operativo</v>
          </cell>
          <cell r="Z242" t="str">
            <v>Indefinido</v>
          </cell>
        </row>
        <row r="243">
          <cell r="A243" t="str">
            <v>52016</v>
          </cell>
          <cell r="B243" t="str">
            <v>129407220</v>
          </cell>
          <cell r="C243" t="str">
            <v>RAMIREZ CHOQUE PAOLA ALEJANDRA</v>
          </cell>
          <cell r="D243" t="str">
            <v>Gerente de Gestión de Personas</v>
          </cell>
          <cell r="E243" t="str">
            <v>Prof. 4X3 12 hrs</v>
          </cell>
          <cell r="F243" t="str">
            <v>Femenino</v>
          </cell>
          <cell r="G243" t="str">
            <v>PRAMI002@CODELCO.CL</v>
          </cell>
          <cell r="H243">
            <v>50</v>
          </cell>
          <cell r="I243">
            <v>45261</v>
          </cell>
          <cell r="J243">
            <v>45261</v>
          </cell>
          <cell r="K243" t="str">
            <v>19</v>
          </cell>
          <cell r="L243">
            <v>45261</v>
          </cell>
          <cell r="M243">
            <v>45261</v>
          </cell>
          <cell r="N243">
            <v>45261</v>
          </cell>
          <cell r="O243">
            <v>45261</v>
          </cell>
          <cell r="P243">
            <v>49988</v>
          </cell>
          <cell r="Q243">
            <v>39356</v>
          </cell>
          <cell r="R243">
            <v>3</v>
          </cell>
          <cell r="S243">
            <v>45261</v>
          </cell>
          <cell r="T243" t="str">
            <v>CABRERA CORREA CLAUDIA ALEJANDRA</v>
          </cell>
          <cell r="U243" t="str">
            <v>CLAUDIA.CABRERA@CODE</v>
          </cell>
          <cell r="V243" t="str">
            <v>Gerencia de Gestión de Personas</v>
          </cell>
          <cell r="W243" t="str">
            <v>Sin asignar</v>
          </cell>
          <cell r="X243" t="str">
            <v>Gerencia de Gestión de Personas</v>
          </cell>
          <cell r="Y243" t="str">
            <v>Ejecutivo</v>
          </cell>
          <cell r="Z243" t="str">
            <v>Indefinido</v>
          </cell>
        </row>
        <row r="244">
          <cell r="A244" t="str">
            <v>52503</v>
          </cell>
          <cell r="B244" t="str">
            <v>150289580</v>
          </cell>
          <cell r="C244" t="str">
            <v>GOMEZ ROJAS ISABEL MARGARITA</v>
          </cell>
          <cell r="D244" t="str">
            <v>Director Salud Ocupacional e Higie</v>
          </cell>
          <cell r="E244" t="str">
            <v>Prof. 4X3 12 hrs</v>
          </cell>
          <cell r="F244" t="str">
            <v>Femenino</v>
          </cell>
          <cell r="G244" t="str">
            <v>IGOME001@CODELCO.CL</v>
          </cell>
          <cell r="H244">
            <v>40</v>
          </cell>
          <cell r="I244">
            <v>45931</v>
          </cell>
          <cell r="J244">
            <v>45931</v>
          </cell>
          <cell r="K244" t="str">
            <v>6</v>
          </cell>
          <cell r="L244">
            <v>45931</v>
          </cell>
          <cell r="M244">
            <v>45931</v>
          </cell>
          <cell r="N244">
            <v>45931</v>
          </cell>
          <cell r="O244">
            <v>45931</v>
          </cell>
          <cell r="P244">
            <v>53479</v>
          </cell>
          <cell r="Q244">
            <v>39454</v>
          </cell>
          <cell r="R244">
            <v>1</v>
          </cell>
          <cell r="S244">
            <v>45931</v>
          </cell>
          <cell r="T244" t="str">
            <v>NEUT VILLANUEVA FRANCISCA GABRIELA</v>
          </cell>
          <cell r="U244" t="str">
            <v>FNEUT001@CODELCO.CL</v>
          </cell>
          <cell r="V244" t="str">
            <v>Gerencia de Seguridad y Salud Ocup.</v>
          </cell>
          <cell r="W244" t="str">
            <v>Dirección Salud Ocupacional</v>
          </cell>
          <cell r="X244" t="str">
            <v>Dirección Salud Ocupacional</v>
          </cell>
          <cell r="Y244" t="str">
            <v>Profesional</v>
          </cell>
          <cell r="Z244" t="str">
            <v>Indefinido</v>
          </cell>
        </row>
        <row r="245">
          <cell r="A245" t="str">
            <v>53782</v>
          </cell>
          <cell r="B245" t="str">
            <v>128373438</v>
          </cell>
          <cell r="C245" t="str">
            <v>LEIVA MARIN MAURICIO JAVIER</v>
          </cell>
          <cell r="D245" t="str">
            <v>Ingeniero de Materiales</v>
          </cell>
          <cell r="E245" t="str">
            <v>Prof. 4X3 12 hrs</v>
          </cell>
          <cell r="F245" t="str">
            <v>Masculino</v>
          </cell>
          <cell r="G245" t="str">
            <v>MLEIV001@CODELCO.CL</v>
          </cell>
          <cell r="H245">
            <v>50</v>
          </cell>
          <cell r="I245">
            <v>41337</v>
          </cell>
          <cell r="J245">
            <v>39941</v>
          </cell>
          <cell r="K245" t="str">
            <v>8</v>
          </cell>
          <cell r="L245">
            <v>42856</v>
          </cell>
          <cell r="M245">
            <v>41337</v>
          </cell>
          <cell r="N245">
            <v>39941</v>
          </cell>
          <cell r="O245">
            <v>39941</v>
          </cell>
          <cell r="P245">
            <v>51432</v>
          </cell>
          <cell r="Q245">
            <v>41337</v>
          </cell>
          <cell r="R245">
            <v>13</v>
          </cell>
          <cell r="S245">
            <v>41337</v>
          </cell>
          <cell r="T245" t="str">
            <v>DONOSO NOGALES PEDRO ARNOLDO</v>
          </cell>
          <cell r="U245" t="str">
            <v>PDONO007@CODELCO.CL</v>
          </cell>
          <cell r="V245" t="str">
            <v>Gerencia de Mantenimiento</v>
          </cell>
          <cell r="W245" t="str">
            <v>Sptcia. Planificacion Mantenimiento</v>
          </cell>
          <cell r="X245" t="str">
            <v>Sptcia. Planificacion Mantenimiento</v>
          </cell>
          <cell r="Y245" t="str">
            <v>Profesional</v>
          </cell>
          <cell r="Z245" t="str">
            <v>Indefinido</v>
          </cell>
        </row>
        <row r="246">
          <cell r="A246" t="str">
            <v>53870</v>
          </cell>
          <cell r="B246" t="str">
            <v>132268835</v>
          </cell>
          <cell r="C246" t="str">
            <v>VALDES MOYANO RODOLFO SALVADOR</v>
          </cell>
          <cell r="D246" t="str">
            <v>Director/a RRLL y Adm. de Personas</v>
          </cell>
          <cell r="E246" t="str">
            <v>Prof. 4X3 12 hrs</v>
          </cell>
          <cell r="F246" t="str">
            <v>Masculino</v>
          </cell>
          <cell r="G246" t="str">
            <v>RVALES@CODELCO.CL</v>
          </cell>
          <cell r="H246">
            <v>49</v>
          </cell>
          <cell r="I246">
            <v>45017</v>
          </cell>
          <cell r="J246">
            <v>45017</v>
          </cell>
          <cell r="K246" t="str">
            <v>5</v>
          </cell>
          <cell r="L246">
            <v>45017</v>
          </cell>
          <cell r="M246">
            <v>45017</v>
          </cell>
          <cell r="N246">
            <v>45017</v>
          </cell>
          <cell r="O246">
            <v>45017</v>
          </cell>
          <cell r="P246">
            <v>52116</v>
          </cell>
          <cell r="Q246">
            <v>45017</v>
          </cell>
          <cell r="R246">
            <v>3</v>
          </cell>
          <cell r="S246">
            <v>45017</v>
          </cell>
          <cell r="T246" t="str">
            <v>RAMIREZ CHOQUE PAOLA ALEJANDRA</v>
          </cell>
          <cell r="U246" t="str">
            <v>PRAMI002@CODELCO.CL</v>
          </cell>
          <cell r="V246" t="str">
            <v>Gerencia de Gestión de Personas</v>
          </cell>
          <cell r="W246" t="str">
            <v>Direccion de RRLL y Adm. de Personas</v>
          </cell>
          <cell r="X246" t="str">
            <v>Direccion de RRLL y Adm. de Personas</v>
          </cell>
          <cell r="Y246" t="str">
            <v>Profesional</v>
          </cell>
          <cell r="Z246" t="str">
            <v>Indefinido</v>
          </cell>
        </row>
        <row r="247">
          <cell r="A247" t="str">
            <v>54174</v>
          </cell>
          <cell r="B247" t="str">
            <v>149033114</v>
          </cell>
          <cell r="C247" t="str">
            <v>LOPEZ NEIRA RODRIGO</v>
          </cell>
          <cell r="D247" t="str">
            <v>Operador Mina</v>
          </cell>
          <cell r="E247" t="str">
            <v>Oper. 7X7 12 Hrs TAB G01</v>
          </cell>
          <cell r="F247" t="str">
            <v>Masculino</v>
          </cell>
          <cell r="G247" t="str">
            <v>RLOPE030@CODELCO.CL</v>
          </cell>
          <cell r="H247">
            <v>46</v>
          </cell>
          <cell r="I247">
            <v>45754</v>
          </cell>
          <cell r="J247">
            <v>45754</v>
          </cell>
          <cell r="K247" t="str">
            <v>10</v>
          </cell>
          <cell r="L247">
            <v>45754</v>
          </cell>
          <cell r="M247">
            <v>45754</v>
          </cell>
          <cell r="N247">
            <v>45754</v>
          </cell>
          <cell r="O247">
            <v>45754</v>
          </cell>
          <cell r="P247">
            <v>53060</v>
          </cell>
          <cell r="Q247">
            <v>45754</v>
          </cell>
          <cell r="R247">
            <v>1</v>
          </cell>
          <cell r="S247">
            <v>45754</v>
          </cell>
          <cell r="T247" t="str">
            <v>ICETA BAEZA ANTONIO</v>
          </cell>
          <cell r="U247" t="str">
            <v>AICETA@CODELCO.CL</v>
          </cell>
          <cell r="V247" t="str">
            <v>Gerencia de Operaciones</v>
          </cell>
          <cell r="W247" t="str">
            <v>Sptcia. Operacion Mina</v>
          </cell>
          <cell r="X247" t="str">
            <v>Sptcia. Operacion Mina</v>
          </cell>
          <cell r="Y247" t="str">
            <v>Operativo</v>
          </cell>
          <cell r="Z247" t="str">
            <v>Indefinido</v>
          </cell>
        </row>
        <row r="248">
          <cell r="A248" t="str">
            <v>55615</v>
          </cell>
          <cell r="B248" t="str">
            <v>150175933</v>
          </cell>
          <cell r="C248" t="str">
            <v>CORNEJO ARAYA VICTOR HUGO</v>
          </cell>
          <cell r="D248" t="str">
            <v>Ingeniero Geotecnico</v>
          </cell>
          <cell r="E248" t="str">
            <v>Prof. 4X3 12 hrs</v>
          </cell>
          <cell r="F248" t="str">
            <v>Masculino</v>
          </cell>
          <cell r="G248" t="str">
            <v>VCORN001@CODELCO.CL</v>
          </cell>
          <cell r="H248">
            <v>44</v>
          </cell>
          <cell r="I248">
            <v>42128</v>
          </cell>
          <cell r="J248">
            <v>42128</v>
          </cell>
          <cell r="K248" t="str">
            <v>7</v>
          </cell>
          <cell r="L248">
            <v>45597</v>
          </cell>
          <cell r="M248">
            <v>42128</v>
          </cell>
          <cell r="N248">
            <v>42128</v>
          </cell>
          <cell r="O248">
            <v>42128</v>
          </cell>
          <cell r="P248">
            <v>53975</v>
          </cell>
          <cell r="Q248">
            <v>42128</v>
          </cell>
          <cell r="R248">
            <v>11</v>
          </cell>
          <cell r="S248">
            <v>42128</v>
          </cell>
          <cell r="T248" t="str">
            <v>VARGAS ENCINA CAROLINA ALEJANDRA</v>
          </cell>
          <cell r="U248" t="str">
            <v>CVARG029@CODELCO.CL</v>
          </cell>
          <cell r="V248" t="str">
            <v>Gerencia de Recursos Mineros y Desarr</v>
          </cell>
          <cell r="W248" t="str">
            <v>Superintendencia de Geotecnia</v>
          </cell>
          <cell r="X248" t="str">
            <v>Superintendencia de Geotecnia</v>
          </cell>
          <cell r="Y248" t="str">
            <v>Profesional</v>
          </cell>
          <cell r="Z248" t="str">
            <v>Indefinido</v>
          </cell>
        </row>
        <row r="249">
          <cell r="A249" t="str">
            <v>56483</v>
          </cell>
          <cell r="B249" t="str">
            <v>122096580</v>
          </cell>
          <cell r="C249" t="str">
            <v>JUYUMAYA RAMIREZ JAVIER ANGEL</v>
          </cell>
          <cell r="D249" t="str">
            <v>Ingeniero Turno Mantenimiento A.H.</v>
          </cell>
          <cell r="E249" t="str">
            <v>Oper. 7X7 12 Hrs TAB G03</v>
          </cell>
          <cell r="F249" t="str">
            <v>Masculino</v>
          </cell>
          <cell r="G249" t="str">
            <v>JJUYUMAY@CODELCO.CL</v>
          </cell>
          <cell r="H249">
            <v>54</v>
          </cell>
          <cell r="I249">
            <v>44378</v>
          </cell>
          <cell r="J249">
            <v>45627</v>
          </cell>
          <cell r="K249" t="str">
            <v>8</v>
          </cell>
          <cell r="L249">
            <v>45597</v>
          </cell>
          <cell r="M249">
            <v>44378</v>
          </cell>
          <cell r="N249">
            <v>45627</v>
          </cell>
          <cell r="O249">
            <v>45627</v>
          </cell>
          <cell r="P249">
            <v>47705</v>
          </cell>
          <cell r="Q249">
            <v>40148</v>
          </cell>
          <cell r="R249">
            <v>5</v>
          </cell>
          <cell r="S249">
            <v>44378</v>
          </cell>
          <cell r="T249" t="str">
            <v>SILVA LARRAIN CESAR</v>
          </cell>
          <cell r="U249" t="str">
            <v>CSILV021@CODELCO.CL</v>
          </cell>
          <cell r="V249" t="str">
            <v>Gerencia de Mantenimiento</v>
          </cell>
          <cell r="W249" t="str">
            <v>Sptcia. Mtto. Area Humeda</v>
          </cell>
          <cell r="X249" t="str">
            <v>Sptcia. Mtto. Area Humeda</v>
          </cell>
          <cell r="Y249" t="str">
            <v>Profesional</v>
          </cell>
          <cell r="Z249" t="str">
            <v>Indefinido</v>
          </cell>
        </row>
        <row r="250">
          <cell r="A250" t="str">
            <v>56681</v>
          </cell>
          <cell r="B250" t="str">
            <v>170937945</v>
          </cell>
          <cell r="C250" t="str">
            <v>CARDENAS PECAS PAULINA</v>
          </cell>
          <cell r="D250" t="str">
            <v>Operador Planta AH</v>
          </cell>
          <cell r="E250" t="str">
            <v>Oper. 7X7 12 Hrs TAB G02</v>
          </cell>
          <cell r="F250" t="str">
            <v>Femenino</v>
          </cell>
          <cell r="G250" t="str">
            <v>PCARD011@CODELCO.CL</v>
          </cell>
          <cell r="H250">
            <v>37</v>
          </cell>
          <cell r="I250">
            <v>43132</v>
          </cell>
          <cell r="J250">
            <v>43132</v>
          </cell>
          <cell r="K250" t="str">
            <v>10</v>
          </cell>
          <cell r="L250">
            <v>43132</v>
          </cell>
          <cell r="M250">
            <v>43132</v>
          </cell>
          <cell r="N250">
            <v>43132</v>
          </cell>
          <cell r="O250">
            <v>43132</v>
          </cell>
          <cell r="P250">
            <v>54509</v>
          </cell>
          <cell r="Q250">
            <v>40381</v>
          </cell>
          <cell r="R250">
            <v>8</v>
          </cell>
          <cell r="S250">
            <v>43132</v>
          </cell>
          <cell r="T250" t="str">
            <v>CORREA MENDOZA CAMILA</v>
          </cell>
          <cell r="U250" t="str">
            <v>CCORR014@CODELCO.CL</v>
          </cell>
          <cell r="V250" t="str">
            <v>Gerencia de Operaciones</v>
          </cell>
          <cell r="W250" t="str">
            <v>Sptcia. Operacion Area Hum.</v>
          </cell>
          <cell r="X250" t="str">
            <v>Sx Ew y Patio de Embarque</v>
          </cell>
          <cell r="Y250" t="str">
            <v>Operativo</v>
          </cell>
          <cell r="Z250" t="str">
            <v>Indefinido</v>
          </cell>
        </row>
        <row r="251">
          <cell r="A251" t="str">
            <v>56845</v>
          </cell>
          <cell r="B251" t="str">
            <v>163245566</v>
          </cell>
          <cell r="C251" t="str">
            <v>ROJAS ALFARO EDUARDO LUIS</v>
          </cell>
          <cell r="D251" t="str">
            <v>Ingeniero/a Planificación Mtto Planta</v>
          </cell>
          <cell r="E251" t="str">
            <v>Prof. 4X3 12 hrs</v>
          </cell>
          <cell r="F251" t="str">
            <v>Masculino</v>
          </cell>
          <cell r="G251" t="str">
            <v>EROJA038@CODELCO.CL</v>
          </cell>
          <cell r="H251">
            <v>39</v>
          </cell>
          <cell r="I251">
            <v>40787</v>
          </cell>
          <cell r="J251">
            <v>45231</v>
          </cell>
          <cell r="K251" t="str">
            <v>#</v>
          </cell>
          <cell r="L251">
            <v>45047</v>
          </cell>
          <cell r="M251">
            <v>40787</v>
          </cell>
          <cell r="N251">
            <v>40518</v>
          </cell>
          <cell r="O251">
            <v>40518</v>
          </cell>
          <cell r="P251">
            <v>55297</v>
          </cell>
          <cell r="Q251">
            <v>40787</v>
          </cell>
          <cell r="R251">
            <v>15</v>
          </cell>
          <cell r="S251">
            <v>40787</v>
          </cell>
          <cell r="T251" t="str">
            <v>DONOSO NOGALES PEDRO ARNOLDO</v>
          </cell>
          <cell r="U251" t="str">
            <v>PDONO007@CODELCO.CL</v>
          </cell>
          <cell r="V251" t="str">
            <v>Gerencia de Mantenimiento</v>
          </cell>
          <cell r="W251" t="str">
            <v>Sptcia. Planificacion Mantenimiento</v>
          </cell>
          <cell r="X251" t="str">
            <v>Sptcia. Planificacion Mantenimiento</v>
          </cell>
          <cell r="Y251" t="str">
            <v>Profesional</v>
          </cell>
          <cell r="Z251" t="str">
            <v>Indefinido</v>
          </cell>
        </row>
        <row r="252">
          <cell r="A252" t="str">
            <v>57700</v>
          </cell>
          <cell r="B252" t="str">
            <v>145987342</v>
          </cell>
          <cell r="C252" t="str">
            <v>FUENTEALBA OCAMPOS MAURICIO ALEJANDRO</v>
          </cell>
          <cell r="D252" t="str">
            <v>Supte. Proyectos, Infra. y Suministros</v>
          </cell>
          <cell r="E252" t="str">
            <v>Prof. 4X3 12 hrs</v>
          </cell>
          <cell r="F252" t="str">
            <v>Masculino</v>
          </cell>
          <cell r="G252" t="str">
            <v>MFUEN028@CODELCO.CL</v>
          </cell>
          <cell r="H252">
            <v>45</v>
          </cell>
          <cell r="I252">
            <v>45962</v>
          </cell>
          <cell r="J252">
            <v>43313</v>
          </cell>
          <cell r="K252" t="str">
            <v>#</v>
          </cell>
          <cell r="L252">
            <v>45962</v>
          </cell>
          <cell r="M252">
            <v>45962</v>
          </cell>
          <cell r="N252">
            <v>43313</v>
          </cell>
          <cell r="O252">
            <v>43313</v>
          </cell>
          <cell r="P252">
            <v>53511</v>
          </cell>
          <cell r="Q252">
            <v>40452</v>
          </cell>
          <cell r="R252">
            <v>1</v>
          </cell>
          <cell r="S252">
            <v>43313</v>
          </cell>
          <cell r="T252" t="str">
            <v>BURGOS ARRATIA FRANCISCO EDUARDO</v>
          </cell>
          <cell r="U252" t="str">
            <v>FBURGOS@CODELCO.CL</v>
          </cell>
          <cell r="V252" t="str">
            <v>Gerencia de Administración</v>
          </cell>
          <cell r="W252" t="str">
            <v>Supte. Proyectos, Infra. y Suministros</v>
          </cell>
          <cell r="X252" t="str">
            <v>Supte. Proyectos, Infra. y Suministros</v>
          </cell>
          <cell r="Y252" t="str">
            <v>Profesional</v>
          </cell>
          <cell r="Z252" t="str">
            <v>Indefinido</v>
          </cell>
        </row>
        <row r="253">
          <cell r="A253" t="str">
            <v>58066</v>
          </cell>
          <cell r="B253" t="str">
            <v>018182669K</v>
          </cell>
          <cell r="C253" t="str">
            <v>MORO ARAYA GABRIEL HERNAN</v>
          </cell>
          <cell r="D253" t="str">
            <v>Ingeniero de Despacho Mina</v>
          </cell>
          <cell r="E253" t="str">
            <v>Oper. 7X7 12 Hrs TAB G02</v>
          </cell>
          <cell r="F253" t="str">
            <v>Masculino</v>
          </cell>
          <cell r="G253" t="str">
            <v>GMORO003@CODELCO.CL</v>
          </cell>
          <cell r="H253">
            <v>35</v>
          </cell>
          <cell r="I253">
            <v>41431</v>
          </cell>
          <cell r="J253">
            <v>44986</v>
          </cell>
          <cell r="K253" t="str">
            <v>#</v>
          </cell>
          <cell r="L253">
            <v>45108</v>
          </cell>
          <cell r="M253">
            <v>41431</v>
          </cell>
          <cell r="N253">
            <v>44986</v>
          </cell>
          <cell r="O253">
            <v>44958</v>
          </cell>
          <cell r="P253">
            <v>57197</v>
          </cell>
          <cell r="Q253">
            <v>41431</v>
          </cell>
          <cell r="R253">
            <v>13</v>
          </cell>
          <cell r="S253">
            <v>41431</v>
          </cell>
          <cell r="T253" t="str">
            <v>VELIZ LOPEZ ERIC FELIPE PATRICIO</v>
          </cell>
          <cell r="U253" t="str">
            <v>EVELI007@CODELCO.CL</v>
          </cell>
          <cell r="V253" t="str">
            <v>Gerencia de Operaciones</v>
          </cell>
          <cell r="W253" t="str">
            <v>Sptcia. Ingenieria y Gestion Mina</v>
          </cell>
          <cell r="X253" t="str">
            <v>Sptcia. Ingenieria y Gestion Mina</v>
          </cell>
          <cell r="Y253" t="str">
            <v>Profesional</v>
          </cell>
          <cell r="Z253" t="str">
            <v>Indefinido</v>
          </cell>
        </row>
        <row r="254">
          <cell r="A254" t="str">
            <v>58078</v>
          </cell>
          <cell r="B254" t="str">
            <v>181841176</v>
          </cell>
          <cell r="C254" t="str">
            <v>CORTES GONZALEZ JIMMY ALEXANDER</v>
          </cell>
          <cell r="D254" t="str">
            <v>Operador Planta AH</v>
          </cell>
          <cell r="E254" t="str">
            <v>Oper. 7X7 12 Hrs TAB G01</v>
          </cell>
          <cell r="F254" t="str">
            <v>Masculino</v>
          </cell>
          <cell r="G254" t="str">
            <v>JCORT086@CODELCO.CL</v>
          </cell>
          <cell r="H254">
            <v>33</v>
          </cell>
          <cell r="I254">
            <v>40883</v>
          </cell>
          <cell r="J254">
            <v>35562</v>
          </cell>
          <cell r="K254" t="str">
            <v>10</v>
          </cell>
          <cell r="L254">
            <v>44682</v>
          </cell>
          <cell r="M254">
            <v>40883</v>
          </cell>
          <cell r="N254">
            <v>35562</v>
          </cell>
          <cell r="O254">
            <v>35562</v>
          </cell>
          <cell r="P254">
            <v>57606</v>
          </cell>
          <cell r="Q254">
            <v>40883</v>
          </cell>
          <cell r="R254">
            <v>15</v>
          </cell>
          <cell r="S254">
            <v>40883</v>
          </cell>
          <cell r="T254" t="str">
            <v>ROJAS ESPINOZA MELISSA DEL CARMEN</v>
          </cell>
          <cell r="U254" t="str">
            <v>MROJA134@CODELCO.CL</v>
          </cell>
          <cell r="V254" t="str">
            <v>Gerencia de Operaciones</v>
          </cell>
          <cell r="W254" t="str">
            <v>Sptcia. Operacion Area Hum.</v>
          </cell>
          <cell r="X254" t="str">
            <v>Aglomeracion y Lixiviacion</v>
          </cell>
          <cell r="Y254" t="str">
            <v>Operativo</v>
          </cell>
          <cell r="Z254" t="str">
            <v>Indefinido</v>
          </cell>
        </row>
        <row r="255">
          <cell r="A255" t="str">
            <v>58163</v>
          </cell>
          <cell r="B255" t="str">
            <v>181835370</v>
          </cell>
          <cell r="C255" t="str">
            <v>LOVERA AYAVIRE LUIS ENRIQUE</v>
          </cell>
          <cell r="D255" t="str">
            <v>Especialista Operativo AS</v>
          </cell>
          <cell r="E255" t="str">
            <v>Oper. 7X7 12 Hrs TAB G04</v>
          </cell>
          <cell r="F255" t="str">
            <v>Masculino</v>
          </cell>
          <cell r="G255" t="str">
            <v>LLOVERA@CODELCO.CL</v>
          </cell>
          <cell r="H255">
            <v>33</v>
          </cell>
          <cell r="I255">
            <v>41699</v>
          </cell>
          <cell r="J255">
            <v>43466</v>
          </cell>
          <cell r="K255" t="str">
            <v>10</v>
          </cell>
          <cell r="L255">
            <v>44501</v>
          </cell>
          <cell r="M255">
            <v>41699</v>
          </cell>
          <cell r="N255">
            <v>40771</v>
          </cell>
          <cell r="O255">
            <v>40771</v>
          </cell>
          <cell r="P255">
            <v>57617</v>
          </cell>
          <cell r="Q255">
            <v>41699</v>
          </cell>
          <cell r="R255">
            <v>12</v>
          </cell>
          <cell r="S255">
            <v>41699</v>
          </cell>
          <cell r="T255" t="str">
            <v>POBLETE ESPINOZA FRANCISCO JAVIER</v>
          </cell>
          <cell r="U255" t="str">
            <v>FPOBL005@CODELCO.CL</v>
          </cell>
          <cell r="V255" t="str">
            <v>Gerencia de Operaciones</v>
          </cell>
          <cell r="W255" t="str">
            <v>Sptcia. Operacion Area Seca</v>
          </cell>
          <cell r="X255" t="str">
            <v>Sptcia. Operacion Area Seca</v>
          </cell>
          <cell r="Y255" t="str">
            <v>Operativo</v>
          </cell>
          <cell r="Z255" t="str">
            <v>Indefinido</v>
          </cell>
        </row>
        <row r="256">
          <cell r="A256" t="str">
            <v>58176</v>
          </cell>
          <cell r="B256" t="str">
            <v>018183580K</v>
          </cell>
          <cell r="C256" t="str">
            <v>URRELO SAIRE OSVALDO</v>
          </cell>
          <cell r="D256" t="str">
            <v>Operador Mina</v>
          </cell>
          <cell r="E256" t="str">
            <v>Oper. 7X7 12 Hrs TAB G03</v>
          </cell>
          <cell r="F256" t="str">
            <v>Masculino</v>
          </cell>
          <cell r="G256" t="str">
            <v>OURRELO@CODELCO.CL</v>
          </cell>
          <cell r="H256">
            <v>33</v>
          </cell>
          <cell r="I256">
            <v>41640</v>
          </cell>
          <cell r="J256">
            <v>41162</v>
          </cell>
          <cell r="K256" t="str">
            <v>10</v>
          </cell>
          <cell r="L256">
            <v>42856</v>
          </cell>
          <cell r="M256">
            <v>41640</v>
          </cell>
          <cell r="N256">
            <v>41162</v>
          </cell>
          <cell r="O256">
            <v>41162</v>
          </cell>
          <cell r="P256">
            <v>57609</v>
          </cell>
          <cell r="Q256">
            <v>40883</v>
          </cell>
          <cell r="R256">
            <v>12</v>
          </cell>
          <cell r="S256">
            <v>41640</v>
          </cell>
          <cell r="T256" t="str">
            <v>ORTEGA ORTUYA CARLOS</v>
          </cell>
          <cell r="U256" t="str">
            <v>CORTE009@CODELCO.CL</v>
          </cell>
          <cell r="V256" t="str">
            <v>Gerencia de Operaciones</v>
          </cell>
          <cell r="W256" t="str">
            <v>Sptcia. Operacion Mina</v>
          </cell>
          <cell r="X256" t="str">
            <v>Sptcia. Operacion Mina</v>
          </cell>
          <cell r="Y256" t="str">
            <v>Operativo</v>
          </cell>
          <cell r="Z256" t="str">
            <v>Indefinido</v>
          </cell>
        </row>
        <row r="257">
          <cell r="A257" t="str">
            <v>58183</v>
          </cell>
          <cell r="B257" t="str">
            <v>181834285</v>
          </cell>
          <cell r="C257" t="str">
            <v>VEGA ARAYA WILSON</v>
          </cell>
          <cell r="D257" t="str">
            <v>Operador Mina</v>
          </cell>
          <cell r="E257" t="str">
            <v>Oper. 7X7 12 Hrs TAB G01</v>
          </cell>
          <cell r="F257" t="str">
            <v>Masculino</v>
          </cell>
          <cell r="G257" t="str">
            <v>WVEGA004@CODELCO.CL</v>
          </cell>
          <cell r="H257">
            <v>33</v>
          </cell>
          <cell r="I257">
            <v>41640</v>
          </cell>
          <cell r="J257">
            <v>39569</v>
          </cell>
          <cell r="K257" t="str">
            <v>10</v>
          </cell>
          <cell r="L257">
            <v>42186</v>
          </cell>
          <cell r="M257">
            <v>41640</v>
          </cell>
          <cell r="N257">
            <v>36008</v>
          </cell>
          <cell r="O257">
            <v>35613</v>
          </cell>
          <cell r="P257">
            <v>57588</v>
          </cell>
          <cell r="Q257">
            <v>40883</v>
          </cell>
          <cell r="R257">
            <v>12</v>
          </cell>
          <cell r="S257">
            <v>41640</v>
          </cell>
          <cell r="T257" t="str">
            <v>ICETA BAEZA ANTONIO</v>
          </cell>
          <cell r="U257" t="str">
            <v>AICETA@CODELCO.CL</v>
          </cell>
          <cell r="V257" t="str">
            <v>Gerencia de Operaciones</v>
          </cell>
          <cell r="W257" t="str">
            <v>Sptcia. Operacion Mina</v>
          </cell>
          <cell r="X257" t="str">
            <v>Sptcia. Operacion Mina</v>
          </cell>
          <cell r="Y257" t="str">
            <v>Operativo</v>
          </cell>
          <cell r="Z257" t="str">
            <v>Indefinido</v>
          </cell>
        </row>
        <row r="258">
          <cell r="A258" t="str">
            <v>58207</v>
          </cell>
          <cell r="B258" t="str">
            <v>183624067</v>
          </cell>
          <cell r="C258" t="str">
            <v>TORRES RODRIGUEZ EDUARDO MARCELO</v>
          </cell>
          <cell r="D258" t="str">
            <v>Operador Planta AS</v>
          </cell>
          <cell r="E258" t="str">
            <v>Oper. 7X7 12 Hrs TAB G01</v>
          </cell>
          <cell r="F258" t="str">
            <v>Masculino</v>
          </cell>
          <cell r="G258" t="str">
            <v>ETORR011@CODELCO.CL</v>
          </cell>
          <cell r="H258">
            <v>34</v>
          </cell>
          <cell r="I258">
            <v>40848</v>
          </cell>
          <cell r="J258">
            <v>43466</v>
          </cell>
          <cell r="K258" t="str">
            <v>10</v>
          </cell>
          <cell r="L258">
            <v>45413</v>
          </cell>
          <cell r="M258">
            <v>40848</v>
          </cell>
          <cell r="N258">
            <v>40771</v>
          </cell>
          <cell r="O258">
            <v>40771</v>
          </cell>
          <cell r="P258">
            <v>57688</v>
          </cell>
          <cell r="Q258">
            <v>40883</v>
          </cell>
          <cell r="R258">
            <v>15</v>
          </cell>
          <cell r="S258">
            <v>40848</v>
          </cell>
          <cell r="T258" t="str">
            <v>CORTES MOYANO CAMILA</v>
          </cell>
          <cell r="U258" t="str">
            <v>CCORT068@CODELCO.CL</v>
          </cell>
          <cell r="V258" t="str">
            <v>Gerencia de Operaciones</v>
          </cell>
          <cell r="W258" t="str">
            <v>Sptcia. Operacion Area Seca</v>
          </cell>
          <cell r="X258" t="str">
            <v>Sptcia. Operacion Area Seca</v>
          </cell>
          <cell r="Y258" t="str">
            <v>Operativo</v>
          </cell>
          <cell r="Z258" t="str">
            <v>Indefinido</v>
          </cell>
        </row>
        <row r="259">
          <cell r="A259" t="str">
            <v>58211</v>
          </cell>
          <cell r="B259" t="str">
            <v>183625071</v>
          </cell>
          <cell r="C259" t="str">
            <v>GONZALEZ LARA JEREMIAS EZEQUIEL</v>
          </cell>
          <cell r="D259" t="str">
            <v>Operador Planta AH</v>
          </cell>
          <cell r="E259" t="str">
            <v>Oper. 7X7 12 Hrs TAB G03</v>
          </cell>
          <cell r="F259" t="str">
            <v>Masculino</v>
          </cell>
          <cell r="G259" t="str">
            <v>JGONZ133@CODELCO.CL</v>
          </cell>
          <cell r="H259">
            <v>33</v>
          </cell>
          <cell r="I259">
            <v>41214</v>
          </cell>
          <cell r="J259">
            <v>41162</v>
          </cell>
          <cell r="K259" t="str">
            <v>10</v>
          </cell>
          <cell r="L259">
            <v>43586</v>
          </cell>
          <cell r="M259">
            <v>41214</v>
          </cell>
          <cell r="N259">
            <v>41162</v>
          </cell>
          <cell r="O259">
            <v>41162</v>
          </cell>
          <cell r="P259">
            <v>57750</v>
          </cell>
          <cell r="Q259">
            <v>40883</v>
          </cell>
          <cell r="R259">
            <v>14</v>
          </cell>
          <cell r="S259">
            <v>41214</v>
          </cell>
          <cell r="T259" t="str">
            <v>CORREA MENDOZA CAMILA</v>
          </cell>
          <cell r="U259" t="str">
            <v>CCORR014@CODELCO.CL</v>
          </cell>
          <cell r="V259" t="str">
            <v>Gerencia de Operaciones</v>
          </cell>
          <cell r="W259" t="str">
            <v>Sptcia. Operacion Area Hum.</v>
          </cell>
          <cell r="X259" t="str">
            <v>Sx Ew y Patio de Embarque</v>
          </cell>
          <cell r="Y259" t="str">
            <v>Operativo</v>
          </cell>
          <cell r="Z259" t="str">
            <v>Indefinido</v>
          </cell>
        </row>
        <row r="260">
          <cell r="A260" t="str">
            <v>58603</v>
          </cell>
          <cell r="B260" t="str">
            <v>015974910K</v>
          </cell>
          <cell r="C260" t="str">
            <v>ALCAYAGA VEGA CINTIA</v>
          </cell>
          <cell r="D260" t="str">
            <v>Ingeniero Administración de Personas</v>
          </cell>
          <cell r="E260" t="str">
            <v>Prof. 4X3 12 hrs</v>
          </cell>
          <cell r="F260" t="str">
            <v>Femenino</v>
          </cell>
          <cell r="G260" t="str">
            <v>CALCA002@CODELCO.CL</v>
          </cell>
          <cell r="H260">
            <v>42</v>
          </cell>
          <cell r="I260">
            <v>41334</v>
          </cell>
          <cell r="J260">
            <v>45505</v>
          </cell>
          <cell r="K260" t="str">
            <v>#</v>
          </cell>
          <cell r="L260">
            <v>45505</v>
          </cell>
          <cell r="M260">
            <v>41334</v>
          </cell>
          <cell r="N260">
            <v>45505</v>
          </cell>
          <cell r="O260">
            <v>45505</v>
          </cell>
          <cell r="P260">
            <v>46347</v>
          </cell>
          <cell r="Q260">
            <v>41334</v>
          </cell>
          <cell r="R260">
            <v>13</v>
          </cell>
          <cell r="S260">
            <v>45505</v>
          </cell>
          <cell r="T260" t="str">
            <v>VALDES MOYANO RODOLFO SALVADOR</v>
          </cell>
          <cell r="U260" t="str">
            <v>RVALES@CODELCO.CL</v>
          </cell>
          <cell r="V260" t="str">
            <v>Gerencia de Gestión de Personas</v>
          </cell>
          <cell r="W260" t="str">
            <v>Direccion de RRLL y Adm. de Personas</v>
          </cell>
          <cell r="X260" t="str">
            <v>Direccion de RRLL y Adm. de Personas</v>
          </cell>
          <cell r="Y260" t="str">
            <v>Profesional</v>
          </cell>
          <cell r="Z260" t="str">
            <v>Indefinido</v>
          </cell>
        </row>
        <row r="261">
          <cell r="A261" t="str">
            <v>60362</v>
          </cell>
          <cell r="B261" t="str">
            <v>160019220</v>
          </cell>
          <cell r="C261" t="str">
            <v>SOTO MEJIAS ESTEBAN</v>
          </cell>
          <cell r="D261" t="str">
            <v>Ing. Especialista Op. Area Humeda</v>
          </cell>
          <cell r="E261" t="str">
            <v>Prof. 4X3 12 hrs</v>
          </cell>
          <cell r="F261" t="str">
            <v>Masculino</v>
          </cell>
          <cell r="G261" t="str">
            <v>ESOTO018@CODELCO.CL</v>
          </cell>
          <cell r="H261">
            <v>41</v>
          </cell>
          <cell r="I261">
            <v>40861</v>
          </cell>
          <cell r="J261">
            <v>45261</v>
          </cell>
          <cell r="K261" t="str">
            <v>6</v>
          </cell>
          <cell r="L261">
            <v>45505</v>
          </cell>
          <cell r="M261">
            <v>40861</v>
          </cell>
          <cell r="N261">
            <v>45017</v>
          </cell>
          <cell r="O261">
            <v>45505</v>
          </cell>
          <cell r="P261">
            <v>40861</v>
          </cell>
          <cell r="Q261">
            <v>40861</v>
          </cell>
          <cell r="R261">
            <v>15</v>
          </cell>
          <cell r="S261">
            <v>40861</v>
          </cell>
          <cell r="T261" t="str">
            <v>RETAMAL ORTIZ JORGE</v>
          </cell>
          <cell r="U261" t="str">
            <v>JRETA003@CODELCO.CL</v>
          </cell>
          <cell r="V261" t="str">
            <v>Gerencia de Operaciones</v>
          </cell>
          <cell r="W261" t="str">
            <v>Sptcia. Operacion Area Hum.</v>
          </cell>
          <cell r="X261" t="str">
            <v>Sptcia. Operacion Area Hum.</v>
          </cell>
          <cell r="Y261" t="str">
            <v>Profesional</v>
          </cell>
          <cell r="Z261" t="str">
            <v>Indefinido</v>
          </cell>
        </row>
        <row r="262">
          <cell r="A262" t="str">
            <v>62872</v>
          </cell>
          <cell r="B262" t="str">
            <v>009516689K</v>
          </cell>
          <cell r="C262" t="str">
            <v>JARA FARIÑA JORGE GUILLERMO</v>
          </cell>
          <cell r="D262" t="str">
            <v>Jefe Construccion</v>
          </cell>
          <cell r="E262" t="str">
            <v>Prof. 4X3 12 hrs</v>
          </cell>
          <cell r="F262" t="str">
            <v>Masculino</v>
          </cell>
          <cell r="G262" t="str">
            <v>JJARA027@CODELCO.CL</v>
          </cell>
          <cell r="H262">
            <v>62</v>
          </cell>
          <cell r="I262">
            <v>45689</v>
          </cell>
          <cell r="J262">
            <v>45689</v>
          </cell>
          <cell r="K262" t="str">
            <v>#</v>
          </cell>
          <cell r="L262">
            <v>45689</v>
          </cell>
          <cell r="M262">
            <v>45689</v>
          </cell>
          <cell r="N262">
            <v>45689</v>
          </cell>
          <cell r="O262">
            <v>45689</v>
          </cell>
          <cell r="P262">
            <v>46419</v>
          </cell>
          <cell r="Q262">
            <v>45689</v>
          </cell>
          <cell r="R262">
            <v>1</v>
          </cell>
          <cell r="S262">
            <v>45689</v>
          </cell>
          <cell r="T262" t="str">
            <v>FUENTEALBA OCAMPOS MAURICIO ALEJANDRO</v>
          </cell>
          <cell r="U262" t="str">
            <v>MFUEN028@CODELCO.CL</v>
          </cell>
          <cell r="V262" t="str">
            <v>Gerencia de Administración</v>
          </cell>
          <cell r="W262" t="str">
            <v>Supte. Proyectos, Infra. y Suministros</v>
          </cell>
          <cell r="X262" t="str">
            <v>Supte. Proyectos, Infra. y Suministros</v>
          </cell>
          <cell r="Y262" t="str">
            <v>Profesional</v>
          </cell>
          <cell r="Z262" t="str">
            <v>Indefinido</v>
          </cell>
        </row>
        <row r="263">
          <cell r="A263" t="str">
            <v>63248</v>
          </cell>
          <cell r="B263" t="str">
            <v>135652342</v>
          </cell>
          <cell r="C263" t="str">
            <v>ROJAS LABRA CLAUDIO ANDRES</v>
          </cell>
          <cell r="D263" t="str">
            <v>Jefe Funcional Materiales</v>
          </cell>
          <cell r="E263" t="str">
            <v>Prof. 4X3 12 hrs</v>
          </cell>
          <cell r="F263" t="str">
            <v>Masculino</v>
          </cell>
          <cell r="G263" t="str">
            <v>CROJA106@CODELCO.CL</v>
          </cell>
          <cell r="H263">
            <v>47</v>
          </cell>
          <cell r="I263">
            <v>43770</v>
          </cell>
          <cell r="J263">
            <v>43770</v>
          </cell>
          <cell r="K263" t="str">
            <v>6</v>
          </cell>
          <cell r="L263">
            <v>45231</v>
          </cell>
          <cell r="M263">
            <v>43770</v>
          </cell>
          <cell r="N263">
            <v>43770</v>
          </cell>
          <cell r="O263">
            <v>43770</v>
          </cell>
          <cell r="P263">
            <v>54486</v>
          </cell>
          <cell r="Q263">
            <v>41103</v>
          </cell>
          <cell r="R263">
            <v>7</v>
          </cell>
          <cell r="S263">
            <v>43770</v>
          </cell>
          <cell r="T263" t="str">
            <v>ORQUERA VARGAS DANNY CHRISTIAN</v>
          </cell>
          <cell r="U263" t="str">
            <v>DORQU001@CODELCO.CL</v>
          </cell>
          <cell r="V263" t="str">
            <v>Gerencia de Administración</v>
          </cell>
          <cell r="W263" t="str">
            <v>Direccion de Abastecimientos</v>
          </cell>
          <cell r="X263" t="str">
            <v>Bodega</v>
          </cell>
          <cell r="Y263" t="str">
            <v>Profesional</v>
          </cell>
          <cell r="Z263" t="str">
            <v>Indefinido</v>
          </cell>
        </row>
        <row r="264">
          <cell r="A264" t="str">
            <v>63636</v>
          </cell>
          <cell r="B264" t="str">
            <v>156362468</v>
          </cell>
          <cell r="C264" t="str">
            <v>BARRIA HIDALGO FERNANDO JAVIER</v>
          </cell>
          <cell r="D264" t="str">
            <v>Operador Planta AS</v>
          </cell>
          <cell r="E264" t="str">
            <v>Oper. 7X7 12 Hrs TAB G01</v>
          </cell>
          <cell r="F264" t="str">
            <v>Masculino</v>
          </cell>
          <cell r="G264" t="str">
            <v>FBARR020@CODELCO.CL</v>
          </cell>
          <cell r="H264">
            <v>43</v>
          </cell>
          <cell r="I264">
            <v>41918</v>
          </cell>
          <cell r="J264">
            <v>41918</v>
          </cell>
          <cell r="K264" t="str">
            <v>10</v>
          </cell>
          <cell r="L264">
            <v>43586</v>
          </cell>
          <cell r="M264">
            <v>41918</v>
          </cell>
          <cell r="N264">
            <v>41918</v>
          </cell>
          <cell r="O264">
            <v>41918</v>
          </cell>
          <cell r="P264">
            <v>54216</v>
          </cell>
          <cell r="Q264">
            <v>41183</v>
          </cell>
          <cell r="R264">
            <v>12</v>
          </cell>
          <cell r="S264">
            <v>41918</v>
          </cell>
          <cell r="T264" t="str">
            <v>CORTES MOYANO CAMILA</v>
          </cell>
          <cell r="U264" t="str">
            <v>CCORT068@CODELCO.CL</v>
          </cell>
          <cell r="V264" t="str">
            <v>Gerencia de Operaciones</v>
          </cell>
          <cell r="W264" t="str">
            <v>Sptcia. Operacion Area Seca</v>
          </cell>
          <cell r="X264" t="str">
            <v>Sptcia. Operacion Area Seca</v>
          </cell>
          <cell r="Y264" t="str">
            <v>Operativo</v>
          </cell>
          <cell r="Z264" t="str">
            <v>Indefinido</v>
          </cell>
        </row>
        <row r="265">
          <cell r="A265" t="str">
            <v>63774</v>
          </cell>
          <cell r="B265" t="str">
            <v>162851314</v>
          </cell>
          <cell r="C265" t="str">
            <v>REGHEZZA CEA GIANNINA</v>
          </cell>
          <cell r="D265" t="str">
            <v>Ing. Turno Op. Area Humeda</v>
          </cell>
          <cell r="E265" t="str">
            <v>Prof. 4X3 12 hrs</v>
          </cell>
          <cell r="F265" t="str">
            <v>Femenino</v>
          </cell>
          <cell r="G265" t="str">
            <v>GREGH001@CODELCO.CL</v>
          </cell>
          <cell r="H265">
            <v>39</v>
          </cell>
          <cell r="I265">
            <v>45215</v>
          </cell>
          <cell r="J265">
            <v>45597</v>
          </cell>
          <cell r="K265" t="str">
            <v>8</v>
          </cell>
          <cell r="L265">
            <v>45215</v>
          </cell>
          <cell r="M265">
            <v>45215</v>
          </cell>
          <cell r="N265">
            <v>45215</v>
          </cell>
          <cell r="O265">
            <v>45215</v>
          </cell>
          <cell r="P265">
            <v>53735</v>
          </cell>
          <cell r="Q265">
            <v>45215</v>
          </cell>
          <cell r="R265">
            <v>3</v>
          </cell>
          <cell r="S265">
            <v>45215</v>
          </cell>
          <cell r="T265" t="str">
            <v>RETAMAL ORTIZ JORGE</v>
          </cell>
          <cell r="U265" t="str">
            <v>JRETA003@CODELCO.CL</v>
          </cell>
          <cell r="V265" t="str">
            <v>Gerencia de Operaciones</v>
          </cell>
          <cell r="W265" t="str">
            <v>Sptcia. Operacion Area Hum.</v>
          </cell>
          <cell r="X265" t="str">
            <v>Sptcia. Operacion Area Hum.</v>
          </cell>
          <cell r="Y265" t="str">
            <v>Profesional</v>
          </cell>
          <cell r="Z265" t="str">
            <v>Indefinido</v>
          </cell>
        </row>
        <row r="266">
          <cell r="A266" t="str">
            <v>63997</v>
          </cell>
          <cell r="B266" t="str">
            <v>145193699</v>
          </cell>
          <cell r="C266" t="str">
            <v>IRISH YANCA ERICK ENRIQUE</v>
          </cell>
          <cell r="D266" t="str">
            <v>Vigilante Privado</v>
          </cell>
          <cell r="E266" t="str">
            <v>Oper. 7X7 12 Hrs TAB A06</v>
          </cell>
          <cell r="F266" t="str">
            <v>Masculino</v>
          </cell>
          <cell r="G266" t="str">
            <v>EIRISH@CODELCO.CL</v>
          </cell>
          <cell r="H266">
            <v>48</v>
          </cell>
          <cell r="I266">
            <v>39387</v>
          </cell>
          <cell r="J266">
            <v>44866</v>
          </cell>
          <cell r="K266" t="str">
            <v>10</v>
          </cell>
          <cell r="L266">
            <v>44866</v>
          </cell>
          <cell r="M266">
            <v>39387</v>
          </cell>
          <cell r="N266">
            <v>39834</v>
          </cell>
          <cell r="O266">
            <v>39468</v>
          </cell>
          <cell r="P266">
            <v>52447</v>
          </cell>
          <cell r="Q266">
            <v>39387</v>
          </cell>
          <cell r="R266">
            <v>19</v>
          </cell>
          <cell r="S266">
            <v>39387</v>
          </cell>
          <cell r="T266" t="str">
            <v>GOMEZ LOBOS RODRIGO ANTONIO</v>
          </cell>
          <cell r="U266" t="str">
            <v>RGOME025@CODELCO.CL</v>
          </cell>
          <cell r="V266" t="str">
            <v>Gerencia de Seguridad y Salud Ocup.</v>
          </cell>
          <cell r="W266" t="str">
            <v>Proteccion Industrial</v>
          </cell>
          <cell r="X266" t="str">
            <v>Proteccion Industrial</v>
          </cell>
          <cell r="Y266" t="str">
            <v>Operativo</v>
          </cell>
          <cell r="Z266" t="str">
            <v>Indefinido</v>
          </cell>
        </row>
        <row r="267">
          <cell r="A267" t="str">
            <v>64000</v>
          </cell>
          <cell r="B267" t="str">
            <v>013214592K</v>
          </cell>
          <cell r="C267" t="str">
            <v>GUERRERO OCHOA PATRICIO HUMBERTO</v>
          </cell>
          <cell r="D267" t="str">
            <v>Ing. Especialista Operaciones Mina</v>
          </cell>
          <cell r="E267" t="str">
            <v>Prof. 4X3 12 hrs</v>
          </cell>
          <cell r="F267" t="str">
            <v>Masculino</v>
          </cell>
          <cell r="G267" t="str">
            <v>PGUER010@CODELCO.CL</v>
          </cell>
          <cell r="H267">
            <v>49</v>
          </cell>
          <cell r="I267">
            <v>39295</v>
          </cell>
          <cell r="J267">
            <v>44621</v>
          </cell>
          <cell r="K267" t="str">
            <v>#</v>
          </cell>
          <cell r="L267">
            <v>45597</v>
          </cell>
          <cell r="M267">
            <v>39295</v>
          </cell>
          <cell r="N267">
            <v>44621</v>
          </cell>
          <cell r="O267">
            <v>44621</v>
          </cell>
          <cell r="P267">
            <v>51958</v>
          </cell>
          <cell r="Q267">
            <v>39295</v>
          </cell>
          <cell r="R267">
            <v>19</v>
          </cell>
          <cell r="S267">
            <v>39295</v>
          </cell>
          <cell r="T267" t="str">
            <v>SARMIENTO RODRIGUEZ MARCOS</v>
          </cell>
          <cell r="U267" t="str">
            <v>MSARM001@CODELCO.CL</v>
          </cell>
          <cell r="V267" t="str">
            <v>Gerencia de Operaciones</v>
          </cell>
          <cell r="W267" t="str">
            <v>Sptcia. Operacion Mina</v>
          </cell>
          <cell r="X267" t="str">
            <v>Sptcia. Operacion Mina</v>
          </cell>
          <cell r="Y267" t="str">
            <v>Profesional</v>
          </cell>
          <cell r="Z267" t="str">
            <v>Indefinido</v>
          </cell>
        </row>
        <row r="268">
          <cell r="A268" t="str">
            <v>64008</v>
          </cell>
          <cell r="B268" t="str">
            <v>140726869</v>
          </cell>
          <cell r="C268" t="str">
            <v>JARA CIFUENTES JOSE GABRIEL</v>
          </cell>
          <cell r="D268" t="str">
            <v>Operador Planta AS</v>
          </cell>
          <cell r="E268" t="str">
            <v>Oper. 7X7 12 Hrs TAB G03</v>
          </cell>
          <cell r="F268" t="str">
            <v>Masculino</v>
          </cell>
          <cell r="G268" t="str">
            <v>JJARA018@CODELCO.CL</v>
          </cell>
          <cell r="H268">
            <v>45</v>
          </cell>
          <cell r="I268">
            <v>39295</v>
          </cell>
          <cell r="J268">
            <v>36008</v>
          </cell>
          <cell r="K268" t="str">
            <v>10</v>
          </cell>
          <cell r="L268">
            <v>43282</v>
          </cell>
          <cell r="M268">
            <v>39295</v>
          </cell>
          <cell r="N268">
            <v>37347</v>
          </cell>
          <cell r="O268">
            <v>37347</v>
          </cell>
          <cell r="P268">
            <v>53360</v>
          </cell>
          <cell r="Q268">
            <v>39295</v>
          </cell>
          <cell r="R268">
            <v>19</v>
          </cell>
          <cell r="S268">
            <v>39295</v>
          </cell>
          <cell r="T268" t="str">
            <v>VASQUEZ LOPEZ ARTURO RICARDO</v>
          </cell>
          <cell r="U268" t="str">
            <v>AVASQ018@CODELCO.CL</v>
          </cell>
          <cell r="V268" t="str">
            <v>Gerencia de Operaciones</v>
          </cell>
          <cell r="W268" t="str">
            <v>Sptcia. Operacion Area Seca</v>
          </cell>
          <cell r="X268" t="str">
            <v>Sptcia. Operacion Area Seca</v>
          </cell>
          <cell r="Y268" t="str">
            <v>Operativo</v>
          </cell>
          <cell r="Z268" t="str">
            <v>Indefinido</v>
          </cell>
        </row>
        <row r="269">
          <cell r="A269" t="str">
            <v>64010</v>
          </cell>
          <cell r="B269" t="str">
            <v>153592659</v>
          </cell>
          <cell r="C269" t="str">
            <v>TUSSO PACHECO RODRIGO JESUS</v>
          </cell>
          <cell r="D269" t="str">
            <v>Operador Planta AH</v>
          </cell>
          <cell r="E269" t="str">
            <v>Oper. 7X7 12 Hrs TAB G01</v>
          </cell>
          <cell r="F269" t="str">
            <v>Masculino</v>
          </cell>
          <cell r="G269" t="str">
            <v>RTUSSO@CODELCO.CL</v>
          </cell>
          <cell r="H269">
            <v>43</v>
          </cell>
          <cell r="I269">
            <v>39363</v>
          </cell>
          <cell r="J269">
            <v>44531</v>
          </cell>
          <cell r="K269" t="str">
            <v>10</v>
          </cell>
          <cell r="L269">
            <v>41852</v>
          </cell>
          <cell r="M269">
            <v>39363</v>
          </cell>
          <cell r="N269">
            <v>44531</v>
          </cell>
          <cell r="O269">
            <v>44531</v>
          </cell>
          <cell r="P269">
            <v>54132</v>
          </cell>
          <cell r="Q269">
            <v>39363</v>
          </cell>
          <cell r="R269">
            <v>19</v>
          </cell>
          <cell r="S269">
            <v>39363</v>
          </cell>
          <cell r="T269" t="str">
            <v>CORREA MENDOZA CAMILA</v>
          </cell>
          <cell r="U269" t="str">
            <v>CCORR014@CODELCO.CL</v>
          </cell>
          <cell r="V269" t="str">
            <v>Gerencia de Operaciones</v>
          </cell>
          <cell r="W269" t="str">
            <v>Sptcia. Operacion Area Hum.</v>
          </cell>
          <cell r="X269" t="str">
            <v>Sx Ew y Patio de Embarque</v>
          </cell>
          <cell r="Y269" t="str">
            <v>Operativo</v>
          </cell>
          <cell r="Z269" t="str">
            <v>Indefinido</v>
          </cell>
        </row>
        <row r="270">
          <cell r="A270" t="str">
            <v>64012</v>
          </cell>
          <cell r="B270" t="str">
            <v>138654907</v>
          </cell>
          <cell r="C270" t="str">
            <v>SOTO MORALES ELIAS ALONSO</v>
          </cell>
          <cell r="D270" t="str">
            <v>Operador Planta AS</v>
          </cell>
          <cell r="E270" t="str">
            <v>Oper. 7X7 12 Hrs TAB G01</v>
          </cell>
          <cell r="F270" t="str">
            <v>Masculino</v>
          </cell>
          <cell r="G270" t="str">
            <v>ESOTO016@CODELCO.CL</v>
          </cell>
          <cell r="H270">
            <v>45</v>
          </cell>
          <cell r="I270">
            <v>39356</v>
          </cell>
          <cell r="J270">
            <v>35432</v>
          </cell>
          <cell r="K270" t="str">
            <v>10</v>
          </cell>
          <cell r="L270">
            <v>40909</v>
          </cell>
          <cell r="M270">
            <v>39356</v>
          </cell>
          <cell r="N270">
            <v>35432</v>
          </cell>
          <cell r="O270">
            <v>35432</v>
          </cell>
          <cell r="P270">
            <v>53174</v>
          </cell>
          <cell r="Q270">
            <v>39356</v>
          </cell>
          <cell r="R270">
            <v>19</v>
          </cell>
          <cell r="S270">
            <v>39356</v>
          </cell>
          <cell r="T270" t="str">
            <v>CORTES MOYANO CAMILA</v>
          </cell>
          <cell r="U270" t="str">
            <v>CCORT068@CODELCO.CL</v>
          </cell>
          <cell r="V270" t="str">
            <v>Gerencia de Operaciones</v>
          </cell>
          <cell r="W270" t="str">
            <v>Sptcia. Operacion Area Seca</v>
          </cell>
          <cell r="X270" t="str">
            <v>Sptcia. Operacion Area Seca</v>
          </cell>
          <cell r="Y270" t="str">
            <v>Operativo</v>
          </cell>
          <cell r="Z270" t="str">
            <v>Indefinido</v>
          </cell>
        </row>
        <row r="271">
          <cell r="A271" t="str">
            <v>64014</v>
          </cell>
          <cell r="B271" t="str">
            <v>119913020</v>
          </cell>
          <cell r="C271" t="str">
            <v>CATALDO FUENTES RODRIGO GABRIEL</v>
          </cell>
          <cell r="D271" t="str">
            <v>Operador Mina</v>
          </cell>
          <cell r="E271" t="str">
            <v>Oper. 7X7 12 Hrs TAB G03</v>
          </cell>
          <cell r="F271" t="str">
            <v>Masculino</v>
          </cell>
          <cell r="G271" t="str">
            <v>RCATALDO@CODELCO.CL</v>
          </cell>
          <cell r="H271">
            <v>54</v>
          </cell>
          <cell r="I271">
            <v>39363</v>
          </cell>
          <cell r="J271">
            <v>35432</v>
          </cell>
          <cell r="K271" t="str">
            <v>10</v>
          </cell>
          <cell r="L271">
            <v>40909</v>
          </cell>
          <cell r="M271">
            <v>39363</v>
          </cell>
          <cell r="N271">
            <v>35432</v>
          </cell>
          <cell r="O271">
            <v>35432</v>
          </cell>
          <cell r="P271">
            <v>50268</v>
          </cell>
          <cell r="Q271">
            <v>39363</v>
          </cell>
          <cell r="R271">
            <v>19</v>
          </cell>
          <cell r="S271">
            <v>39363</v>
          </cell>
          <cell r="T271" t="str">
            <v>ZUMELZU BRAVO MARYLIN</v>
          </cell>
          <cell r="U271" t="str">
            <v>MZUME001@CODELCO.CL</v>
          </cell>
          <cell r="V271" t="str">
            <v>Gerencia de Operaciones</v>
          </cell>
          <cell r="W271" t="str">
            <v>Sptcia. Operacion Mina</v>
          </cell>
          <cell r="X271" t="str">
            <v>Sptcia. Operacion Mina</v>
          </cell>
          <cell r="Y271" t="str">
            <v>Operativo</v>
          </cell>
          <cell r="Z271" t="str">
            <v>Indefinido</v>
          </cell>
        </row>
        <row r="272">
          <cell r="A272" t="str">
            <v>64016</v>
          </cell>
          <cell r="B272" t="str">
            <v>010865581K</v>
          </cell>
          <cell r="C272" t="str">
            <v>MARTINEZ CASTRO ROBERTO RICHARD</v>
          </cell>
          <cell r="D272" t="str">
            <v>Instructor ARea Humeda</v>
          </cell>
          <cell r="E272" t="str">
            <v>Prof. 4X3 12 hrs</v>
          </cell>
          <cell r="F272" t="str">
            <v>Masculino</v>
          </cell>
          <cell r="G272" t="str">
            <v>RMART023@CODELCO.CL</v>
          </cell>
          <cell r="H272">
            <v>46</v>
          </cell>
          <cell r="I272">
            <v>39356</v>
          </cell>
          <cell r="J272">
            <v>45992</v>
          </cell>
          <cell r="K272" t="str">
            <v>#</v>
          </cell>
          <cell r="L272">
            <v>45992</v>
          </cell>
          <cell r="M272">
            <v>39356</v>
          </cell>
          <cell r="N272">
            <v>44958</v>
          </cell>
          <cell r="O272">
            <v>45992</v>
          </cell>
          <cell r="P272">
            <v>53221</v>
          </cell>
          <cell r="Q272">
            <v>39356</v>
          </cell>
          <cell r="R272">
            <v>19</v>
          </cell>
          <cell r="S272">
            <v>39356</v>
          </cell>
          <cell r="T272" t="str">
            <v>RETAMAL ORTIZ JORGE</v>
          </cell>
          <cell r="U272" t="str">
            <v>JRETA003@CODELCO.CL</v>
          </cell>
          <cell r="V272" t="str">
            <v>Gerencia de Operaciones</v>
          </cell>
          <cell r="W272" t="str">
            <v>Sptcia. Operacion Area Hum.</v>
          </cell>
          <cell r="X272" t="str">
            <v>Sptcia. Operacion Area Hum.</v>
          </cell>
          <cell r="Y272" t="str">
            <v>Operativo</v>
          </cell>
          <cell r="Z272" t="str">
            <v>Indefinido</v>
          </cell>
        </row>
        <row r="273">
          <cell r="A273" t="str">
            <v>64018</v>
          </cell>
          <cell r="B273" t="str">
            <v>129414138</v>
          </cell>
          <cell r="C273" t="str">
            <v>PALTA CONTRERAS JOANNA ALEJANDRA</v>
          </cell>
          <cell r="D273" t="str">
            <v>Analista Calidad</v>
          </cell>
          <cell r="E273" t="str">
            <v>Oper. 7X7 12 Hrs TAB A05</v>
          </cell>
          <cell r="F273" t="str">
            <v>Femenino</v>
          </cell>
          <cell r="G273" t="str">
            <v>JPALT001@CODELCO.CL</v>
          </cell>
          <cell r="H273">
            <v>50</v>
          </cell>
          <cell r="I273">
            <v>39335</v>
          </cell>
          <cell r="J273">
            <v>43831</v>
          </cell>
          <cell r="K273" t="str">
            <v>9</v>
          </cell>
          <cell r="L273">
            <v>45200</v>
          </cell>
          <cell r="M273">
            <v>39335</v>
          </cell>
          <cell r="N273">
            <v>43831</v>
          </cell>
          <cell r="O273">
            <v>43831</v>
          </cell>
          <cell r="P273">
            <v>49693</v>
          </cell>
          <cell r="Q273">
            <v>39335</v>
          </cell>
          <cell r="R273">
            <v>19</v>
          </cell>
          <cell r="S273">
            <v>39335</v>
          </cell>
          <cell r="T273" t="str">
            <v>NUÑEZ SILVA DANIELA VIVIANA</v>
          </cell>
          <cell r="U273" t="str">
            <v>DNUNE006@CODELCO.CL</v>
          </cell>
          <cell r="V273" t="str">
            <v>Gerencia de Recursos Mineros y Desarr</v>
          </cell>
          <cell r="W273" t="str">
            <v>Superintendencia Planificacion Planta</v>
          </cell>
          <cell r="X273" t="str">
            <v>Superintendencia Planificacion Planta</v>
          </cell>
          <cell r="Y273" t="str">
            <v>Operativo</v>
          </cell>
          <cell r="Z273" t="str">
            <v>Indefinido</v>
          </cell>
        </row>
        <row r="274">
          <cell r="A274" t="str">
            <v>64022</v>
          </cell>
          <cell r="B274" t="str">
            <v>202180566</v>
          </cell>
          <cell r="C274" t="str">
            <v>RUIZ CONTRERAS PAMELA VICTORIA</v>
          </cell>
          <cell r="D274" t="str">
            <v>Operador Mina</v>
          </cell>
          <cell r="E274" t="str">
            <v>Oper. 7X7 12 Hrs TAB G02</v>
          </cell>
          <cell r="F274" t="str">
            <v>Femenino</v>
          </cell>
          <cell r="G274" t="str">
            <v>PRUIZ001@CODELCO.CL</v>
          </cell>
          <cell r="H274">
            <v>45</v>
          </cell>
          <cell r="I274">
            <v>39356</v>
          </cell>
          <cell r="J274">
            <v>39814</v>
          </cell>
          <cell r="K274" t="str">
            <v>10</v>
          </cell>
          <cell r="L274">
            <v>40909</v>
          </cell>
          <cell r="M274">
            <v>39356</v>
          </cell>
          <cell r="N274">
            <v>35534</v>
          </cell>
          <cell r="O274">
            <v>35534</v>
          </cell>
          <cell r="P274">
            <v>51582</v>
          </cell>
          <cell r="Q274">
            <v>39356</v>
          </cell>
          <cell r="R274">
            <v>19</v>
          </cell>
          <cell r="S274">
            <v>39356</v>
          </cell>
          <cell r="T274" t="str">
            <v>ORTEGA ORTUYA CARLOS</v>
          </cell>
          <cell r="U274" t="str">
            <v>CORTE009@CODELCO.CL</v>
          </cell>
          <cell r="V274" t="str">
            <v>Gerencia de Operaciones</v>
          </cell>
          <cell r="W274" t="str">
            <v>Sptcia. Operacion Mina</v>
          </cell>
          <cell r="X274" t="str">
            <v>Sptcia. Operacion Mina</v>
          </cell>
          <cell r="Y274" t="str">
            <v>Operativo</v>
          </cell>
          <cell r="Z274" t="str">
            <v>Indefinido</v>
          </cell>
        </row>
        <row r="275">
          <cell r="A275" t="str">
            <v>64028</v>
          </cell>
          <cell r="B275" t="str">
            <v>129378271</v>
          </cell>
          <cell r="C275" t="str">
            <v>SAINZ DE LA PEÑA CERON RODRIGO FERNANDO</v>
          </cell>
          <cell r="D275" t="str">
            <v>Ing. Esp. Mtto. Electrico</v>
          </cell>
          <cell r="E275" t="str">
            <v>Prof. 4X3 12 hrs</v>
          </cell>
          <cell r="F275" t="str">
            <v>Masculino</v>
          </cell>
          <cell r="G275" t="str">
            <v>RSAINZDE@CODELCO.CL</v>
          </cell>
          <cell r="H275">
            <v>50</v>
          </cell>
          <cell r="I275">
            <v>39295</v>
          </cell>
          <cell r="J275">
            <v>44409</v>
          </cell>
          <cell r="K275" t="str">
            <v>#</v>
          </cell>
          <cell r="L275">
            <v>45597</v>
          </cell>
          <cell r="M275">
            <v>39295</v>
          </cell>
          <cell r="N275">
            <v>42826</v>
          </cell>
          <cell r="O275">
            <v>42826</v>
          </cell>
          <cell r="P275">
            <v>51594</v>
          </cell>
          <cell r="Q275">
            <v>39295</v>
          </cell>
          <cell r="R275">
            <v>19</v>
          </cell>
          <cell r="S275">
            <v>39295</v>
          </cell>
          <cell r="T275" t="str">
            <v>SOTO YUNGE CARLOS</v>
          </cell>
          <cell r="U275" t="str">
            <v>CSOTO073@CODELCO.CL</v>
          </cell>
          <cell r="V275" t="str">
            <v>Gerencia de Mantenimiento</v>
          </cell>
          <cell r="W275" t="str">
            <v>Sptcia. Mtto. Area Seca</v>
          </cell>
          <cell r="X275" t="str">
            <v>Sptcia. Mtto. Area Seca</v>
          </cell>
          <cell r="Y275" t="str">
            <v>Profesional</v>
          </cell>
          <cell r="Z275" t="str">
            <v>Indefinido</v>
          </cell>
        </row>
        <row r="276">
          <cell r="A276" t="str">
            <v>64040</v>
          </cell>
          <cell r="B276" t="str">
            <v>013330827K</v>
          </cell>
          <cell r="C276" t="str">
            <v>MUÑOZ ARAYA RODRIGO ALFONSO</v>
          </cell>
          <cell r="D276" t="str">
            <v>Operador Chancado Primario</v>
          </cell>
          <cell r="E276" t="str">
            <v>Oper. 7X7 12 Hrs TAB G04</v>
          </cell>
          <cell r="F276" t="str">
            <v>Masculino</v>
          </cell>
          <cell r="G276" t="str">
            <v>RMUNO051@CODELCO.CL</v>
          </cell>
          <cell r="H276">
            <v>48</v>
          </cell>
          <cell r="I276">
            <v>39295</v>
          </cell>
          <cell r="J276">
            <v>41350</v>
          </cell>
          <cell r="K276" t="str">
            <v>10</v>
          </cell>
          <cell r="L276">
            <v>41760</v>
          </cell>
          <cell r="M276">
            <v>39295</v>
          </cell>
          <cell r="N276">
            <v>41350</v>
          </cell>
          <cell r="O276">
            <v>41260</v>
          </cell>
          <cell r="P276">
            <v>52263</v>
          </cell>
          <cell r="Q276">
            <v>39295</v>
          </cell>
          <cell r="R276">
            <v>19</v>
          </cell>
          <cell r="S276">
            <v>39295</v>
          </cell>
          <cell r="T276" t="str">
            <v>ARAYA JAIME VALESKA</v>
          </cell>
          <cell r="U276" t="str">
            <v>VARAY013@CODELCO.CL</v>
          </cell>
          <cell r="V276" t="str">
            <v>Gerencia de Operaciones</v>
          </cell>
          <cell r="W276" t="str">
            <v>Sptcia. Operacion Area Seca</v>
          </cell>
          <cell r="X276" t="str">
            <v>Sptcia. Operacion Area Seca</v>
          </cell>
          <cell r="Y276" t="str">
            <v>Operativo</v>
          </cell>
          <cell r="Z276" t="str">
            <v>Indefinido</v>
          </cell>
        </row>
        <row r="277">
          <cell r="A277" t="str">
            <v>64046</v>
          </cell>
          <cell r="B277" t="str">
            <v>142876051</v>
          </cell>
          <cell r="C277" t="str">
            <v>OLAVE SOTO CRISTIAN ROBERTO</v>
          </cell>
          <cell r="D277" t="str">
            <v>Operador Chancado Primario</v>
          </cell>
          <cell r="E277" t="str">
            <v>Oper. 7X7 12 Hrs TAB G04</v>
          </cell>
          <cell r="F277" t="str">
            <v>Masculino</v>
          </cell>
          <cell r="G277" t="str">
            <v>COLAVE@CODELCO.CL</v>
          </cell>
          <cell r="H277">
            <v>52</v>
          </cell>
          <cell r="I277">
            <v>39295</v>
          </cell>
          <cell r="J277">
            <v>39569</v>
          </cell>
          <cell r="K277" t="str">
            <v>10</v>
          </cell>
          <cell r="L277">
            <v>40695</v>
          </cell>
          <cell r="M277">
            <v>39295</v>
          </cell>
          <cell r="N277">
            <v>36008</v>
          </cell>
          <cell r="O277">
            <v>35613</v>
          </cell>
          <cell r="P277">
            <v>50818</v>
          </cell>
          <cell r="Q277">
            <v>39295</v>
          </cell>
          <cell r="R277">
            <v>19</v>
          </cell>
          <cell r="S277">
            <v>39295</v>
          </cell>
          <cell r="T277" t="str">
            <v>ARAYA JAIME VALESKA</v>
          </cell>
          <cell r="U277" t="str">
            <v>VARAY013@CODELCO.CL</v>
          </cell>
          <cell r="V277" t="str">
            <v>Gerencia de Operaciones</v>
          </cell>
          <cell r="W277" t="str">
            <v>Sptcia. Operacion Area Seca</v>
          </cell>
          <cell r="X277" t="str">
            <v>Sptcia. Operacion Area Seca</v>
          </cell>
          <cell r="Y277" t="str">
            <v>Operativo</v>
          </cell>
          <cell r="Z277" t="str">
            <v>Indefinido</v>
          </cell>
        </row>
        <row r="278">
          <cell r="A278" t="str">
            <v>64050</v>
          </cell>
          <cell r="B278" t="str">
            <v>134226617</v>
          </cell>
          <cell r="C278" t="str">
            <v>MORALES VELIZ ROBIN ALEXIS</v>
          </cell>
          <cell r="D278" t="str">
            <v>Operador Chancado Primario</v>
          </cell>
          <cell r="E278" t="str">
            <v>Oper. 7X7 12 Hrs TAB G03</v>
          </cell>
          <cell r="F278" t="str">
            <v>Masculino</v>
          </cell>
          <cell r="G278" t="str">
            <v>RMORA034@CODELCO.CL</v>
          </cell>
          <cell r="H278">
            <v>48</v>
          </cell>
          <cell r="I278">
            <v>39295</v>
          </cell>
          <cell r="J278">
            <v>45139</v>
          </cell>
          <cell r="K278" t="str">
            <v>10</v>
          </cell>
          <cell r="L278">
            <v>42186</v>
          </cell>
          <cell r="M278">
            <v>39295</v>
          </cell>
          <cell r="N278">
            <v>38590</v>
          </cell>
          <cell r="O278">
            <v>45139</v>
          </cell>
          <cell r="P278">
            <v>52295</v>
          </cell>
          <cell r="Q278">
            <v>39295</v>
          </cell>
          <cell r="R278">
            <v>19</v>
          </cell>
          <cell r="S278">
            <v>39295</v>
          </cell>
          <cell r="T278" t="str">
            <v>VASQUEZ LOPEZ ARTURO RICARDO</v>
          </cell>
          <cell r="U278" t="str">
            <v>AVASQ018@CODELCO.CL</v>
          </cell>
          <cell r="V278" t="str">
            <v>Gerencia de Operaciones</v>
          </cell>
          <cell r="W278" t="str">
            <v>Sptcia. Operacion Area Seca</v>
          </cell>
          <cell r="X278" t="str">
            <v>Sptcia. Operacion Area Seca</v>
          </cell>
          <cell r="Y278" t="str">
            <v>Operativo</v>
          </cell>
          <cell r="Z278" t="str">
            <v>Indefinido</v>
          </cell>
        </row>
        <row r="279">
          <cell r="A279" t="str">
            <v>64052</v>
          </cell>
          <cell r="B279" t="str">
            <v>122156540</v>
          </cell>
          <cell r="C279" t="str">
            <v>AROSTICA CARPIO NELSON MAURICIO</v>
          </cell>
          <cell r="D279" t="str">
            <v>Operador Planta AS</v>
          </cell>
          <cell r="E279" t="str">
            <v>Oper. 7X7 12 Hrs TAB G01</v>
          </cell>
          <cell r="F279" t="str">
            <v>Masculino</v>
          </cell>
          <cell r="G279" t="str">
            <v>NAROS002@CODELCO.CL</v>
          </cell>
          <cell r="H279">
            <v>53</v>
          </cell>
          <cell r="I279">
            <v>39295</v>
          </cell>
          <cell r="J279">
            <v>44896</v>
          </cell>
          <cell r="K279" t="str">
            <v>10</v>
          </cell>
          <cell r="L279">
            <v>41030</v>
          </cell>
          <cell r="M279">
            <v>39295</v>
          </cell>
          <cell r="N279">
            <v>44896</v>
          </cell>
          <cell r="O279">
            <v>44621</v>
          </cell>
          <cell r="P279">
            <v>50159</v>
          </cell>
          <cell r="Q279">
            <v>39295</v>
          </cell>
          <cell r="R279">
            <v>19</v>
          </cell>
          <cell r="S279">
            <v>39295</v>
          </cell>
          <cell r="T279" t="str">
            <v>CORTES MOYANO CAMILA</v>
          </cell>
          <cell r="U279" t="str">
            <v>CCORT068@CODELCO.CL</v>
          </cell>
          <cell r="V279" t="str">
            <v>Gerencia de Operaciones</v>
          </cell>
          <cell r="W279" t="str">
            <v>Sptcia. Operacion Area Seca</v>
          </cell>
          <cell r="X279" t="str">
            <v>Sptcia. Operacion Area Seca</v>
          </cell>
          <cell r="Y279" t="str">
            <v>Operativo</v>
          </cell>
          <cell r="Z279" t="str">
            <v>Indefinido</v>
          </cell>
        </row>
        <row r="280">
          <cell r="A280" t="str">
            <v>64054</v>
          </cell>
          <cell r="B280" t="str">
            <v>123471458</v>
          </cell>
          <cell r="C280" t="str">
            <v>RAMIREZ MUNDACA CLAUDIO ROBERTO</v>
          </cell>
          <cell r="D280" t="str">
            <v>Operador Mayor Mina</v>
          </cell>
          <cell r="E280" t="str">
            <v>Oper. 7X7 12 Hrs TAB G02</v>
          </cell>
          <cell r="F280" t="str">
            <v>Masculino</v>
          </cell>
          <cell r="G280" t="str">
            <v>CRAMI034@CODELCO.CL</v>
          </cell>
          <cell r="H280">
            <v>53</v>
          </cell>
          <cell r="I280">
            <v>39303</v>
          </cell>
          <cell r="J280">
            <v>39569</v>
          </cell>
          <cell r="K280" t="str">
            <v>9</v>
          </cell>
          <cell r="L280">
            <v>44682</v>
          </cell>
          <cell r="M280">
            <v>39303</v>
          </cell>
          <cell r="N280">
            <v>36008</v>
          </cell>
          <cell r="O280">
            <v>35613</v>
          </cell>
          <cell r="P280">
            <v>50534</v>
          </cell>
          <cell r="Q280">
            <v>39303</v>
          </cell>
          <cell r="R280">
            <v>19</v>
          </cell>
          <cell r="S280">
            <v>39303</v>
          </cell>
          <cell r="T280" t="str">
            <v>ORTEGA ORTUYA CARLOS</v>
          </cell>
          <cell r="U280" t="str">
            <v>CORTE009@CODELCO.CL</v>
          </cell>
          <cell r="V280" t="str">
            <v>Gerencia de Operaciones</v>
          </cell>
          <cell r="W280" t="str">
            <v>Sptcia. Operacion Mina</v>
          </cell>
          <cell r="X280" t="str">
            <v>Sptcia. Operacion Mina</v>
          </cell>
          <cell r="Y280" t="str">
            <v>Operativo</v>
          </cell>
          <cell r="Z280" t="str">
            <v>Indefinido</v>
          </cell>
        </row>
        <row r="281">
          <cell r="A281" t="str">
            <v>64056</v>
          </cell>
          <cell r="B281" t="str">
            <v>128769579</v>
          </cell>
          <cell r="C281" t="str">
            <v>TAPIA FLORES JEISON ELIAS</v>
          </cell>
          <cell r="D281" t="str">
            <v>Operador Planta AS</v>
          </cell>
          <cell r="E281" t="str">
            <v>Oper. 7X7 12 Hrs TAB G03</v>
          </cell>
          <cell r="F281" t="str">
            <v>Masculino</v>
          </cell>
          <cell r="G281" t="str">
            <v>JTAPI049@CODELCO.CL</v>
          </cell>
          <cell r="H281">
            <v>50</v>
          </cell>
          <cell r="I281">
            <v>39295</v>
          </cell>
          <cell r="J281">
            <v>35432</v>
          </cell>
          <cell r="K281" t="str">
            <v>10</v>
          </cell>
          <cell r="L281">
            <v>41760</v>
          </cell>
          <cell r="M281">
            <v>39295</v>
          </cell>
          <cell r="N281">
            <v>35432</v>
          </cell>
          <cell r="O281">
            <v>35432</v>
          </cell>
          <cell r="P281">
            <v>51281</v>
          </cell>
          <cell r="Q281">
            <v>39295</v>
          </cell>
          <cell r="R281">
            <v>19</v>
          </cell>
          <cell r="S281">
            <v>39295</v>
          </cell>
          <cell r="T281" t="str">
            <v>VASQUEZ LOPEZ ARTURO RICARDO</v>
          </cell>
          <cell r="U281" t="str">
            <v>AVASQ018@CODELCO.CL</v>
          </cell>
          <cell r="V281" t="str">
            <v>Gerencia de Operaciones</v>
          </cell>
          <cell r="W281" t="str">
            <v>Sptcia. Operacion Area Seca</v>
          </cell>
          <cell r="X281" t="str">
            <v>Sptcia. Operacion Area Seca</v>
          </cell>
          <cell r="Y281" t="str">
            <v>Operativo</v>
          </cell>
          <cell r="Z281" t="str">
            <v>Indefinido</v>
          </cell>
        </row>
        <row r="282">
          <cell r="A282" t="str">
            <v>64058</v>
          </cell>
          <cell r="B282" t="str">
            <v>143091295</v>
          </cell>
          <cell r="C282" t="str">
            <v>GACITUA HERRERA RODRIGO ANTONIO</v>
          </cell>
          <cell r="D282" t="str">
            <v>Operador Mayor Planta AH</v>
          </cell>
          <cell r="E282" t="str">
            <v>Oper. 7X7 12 Hrs TAB A05</v>
          </cell>
          <cell r="F282" t="str">
            <v>Masculino</v>
          </cell>
          <cell r="G282" t="str">
            <v>RGACITUA@CODELCO.CL</v>
          </cell>
          <cell r="H282">
            <v>50</v>
          </cell>
          <cell r="I282">
            <v>39356</v>
          </cell>
          <cell r="J282">
            <v>42186</v>
          </cell>
          <cell r="K282" t="str">
            <v>9</v>
          </cell>
          <cell r="L282">
            <v>44682</v>
          </cell>
          <cell r="M282">
            <v>39356</v>
          </cell>
          <cell r="N282">
            <v>41153</v>
          </cell>
          <cell r="O282">
            <v>40787</v>
          </cell>
          <cell r="P282">
            <v>51293</v>
          </cell>
          <cell r="Q282">
            <v>39356</v>
          </cell>
          <cell r="R282">
            <v>19</v>
          </cell>
          <cell r="S282">
            <v>39356</v>
          </cell>
          <cell r="T282" t="str">
            <v>CORREA MENDOZA CAMILA</v>
          </cell>
          <cell r="U282" t="str">
            <v>CCORR014@CODELCO.CL</v>
          </cell>
          <cell r="V282" t="str">
            <v>Gerencia de Operaciones</v>
          </cell>
          <cell r="W282" t="str">
            <v>Sptcia. Operacion Area Hum.</v>
          </cell>
          <cell r="X282" t="str">
            <v>Sptcia. Operacion Area Hum.</v>
          </cell>
          <cell r="Y282" t="str">
            <v>Operativo</v>
          </cell>
          <cell r="Z282" t="str">
            <v>Indefinido</v>
          </cell>
        </row>
        <row r="283">
          <cell r="A283" t="str">
            <v>64060</v>
          </cell>
          <cell r="B283" t="str">
            <v>129385162</v>
          </cell>
          <cell r="C283" t="str">
            <v>FREDES GALLEGUILLOS MARCELO EDUARDO</v>
          </cell>
          <cell r="D283" t="str">
            <v>Operador Mina</v>
          </cell>
          <cell r="E283" t="str">
            <v>Oper. 7X7 12 Hrs TAB G02</v>
          </cell>
          <cell r="F283" t="str">
            <v>Masculino</v>
          </cell>
          <cell r="G283" t="str">
            <v>MFRED002@CODELCO.CL</v>
          </cell>
          <cell r="H283">
            <v>50</v>
          </cell>
          <cell r="I283">
            <v>39295</v>
          </cell>
          <cell r="J283">
            <v>44837</v>
          </cell>
          <cell r="K283" t="str">
            <v>10</v>
          </cell>
          <cell r="L283">
            <v>40909</v>
          </cell>
          <cell r="M283">
            <v>39295</v>
          </cell>
          <cell r="N283">
            <v>40787</v>
          </cell>
          <cell r="O283">
            <v>40787</v>
          </cell>
          <cell r="P283">
            <v>51666</v>
          </cell>
          <cell r="Q283">
            <v>39295</v>
          </cell>
          <cell r="R283">
            <v>19</v>
          </cell>
          <cell r="S283">
            <v>39295</v>
          </cell>
          <cell r="T283" t="str">
            <v>ORTEGA ORTUYA CARLOS</v>
          </cell>
          <cell r="U283" t="str">
            <v>CORTE009@CODELCO.CL</v>
          </cell>
          <cell r="V283" t="str">
            <v>Gerencia de Operaciones</v>
          </cell>
          <cell r="W283" t="str">
            <v>Sptcia. Operacion Mina</v>
          </cell>
          <cell r="X283" t="str">
            <v>Sptcia. Operacion Mina</v>
          </cell>
          <cell r="Y283" t="str">
            <v>Operativo</v>
          </cell>
          <cell r="Z283" t="str">
            <v>Indefinido</v>
          </cell>
        </row>
        <row r="284">
          <cell r="A284" t="str">
            <v>64064</v>
          </cell>
          <cell r="B284" t="str">
            <v>146342531</v>
          </cell>
          <cell r="C284" t="str">
            <v>MARTINEZ SOLIZ CARLOS</v>
          </cell>
          <cell r="D284" t="str">
            <v>Operador Mayor Mina</v>
          </cell>
          <cell r="E284" t="str">
            <v>Oper. 7X7 12 Hrs TAB G02</v>
          </cell>
          <cell r="F284" t="str">
            <v>Masculino</v>
          </cell>
          <cell r="G284" t="str">
            <v>CMART019@CODELCO.CL</v>
          </cell>
          <cell r="H284">
            <v>52</v>
          </cell>
          <cell r="I284">
            <v>39315</v>
          </cell>
          <cell r="J284">
            <v>39569</v>
          </cell>
          <cell r="K284" t="str">
            <v>9</v>
          </cell>
          <cell r="L284">
            <v>42491</v>
          </cell>
          <cell r="M284">
            <v>39315</v>
          </cell>
          <cell r="N284">
            <v>36008</v>
          </cell>
          <cell r="O284">
            <v>35613</v>
          </cell>
          <cell r="P284">
            <v>50604</v>
          </cell>
          <cell r="Q284">
            <v>39315</v>
          </cell>
          <cell r="R284">
            <v>18</v>
          </cell>
          <cell r="S284">
            <v>39315</v>
          </cell>
          <cell r="T284" t="str">
            <v>ORTEGA ORTUYA CARLOS</v>
          </cell>
          <cell r="U284" t="str">
            <v>CORTE009@CODELCO.CL</v>
          </cell>
          <cell r="V284" t="str">
            <v>Gerencia de Operaciones</v>
          </cell>
          <cell r="W284" t="str">
            <v>Sptcia. Operacion Mina</v>
          </cell>
          <cell r="X284" t="str">
            <v>Sptcia. Operacion Mina</v>
          </cell>
          <cell r="Y284" t="str">
            <v>Operativo</v>
          </cell>
          <cell r="Z284" t="str">
            <v>Indefinido</v>
          </cell>
        </row>
        <row r="285">
          <cell r="A285" t="str">
            <v>64066</v>
          </cell>
          <cell r="B285" t="str">
            <v>106548536</v>
          </cell>
          <cell r="C285" t="str">
            <v>SIERRA GONZALEZ ALEX</v>
          </cell>
          <cell r="D285" t="str">
            <v>Operador Mayor Planta AS</v>
          </cell>
          <cell r="E285" t="str">
            <v>Oper. 7X7 12 Hrs TAB G01</v>
          </cell>
          <cell r="F285" t="str">
            <v>Masculino</v>
          </cell>
          <cell r="G285" t="str">
            <v>ASIER002@CODELCO.CL</v>
          </cell>
          <cell r="H285">
            <v>58</v>
          </cell>
          <cell r="I285">
            <v>39295</v>
          </cell>
          <cell r="J285">
            <v>39814</v>
          </cell>
          <cell r="K285" t="str">
            <v>9</v>
          </cell>
          <cell r="L285">
            <v>43586</v>
          </cell>
          <cell r="M285">
            <v>39295</v>
          </cell>
          <cell r="N285">
            <v>35534</v>
          </cell>
          <cell r="O285">
            <v>35534</v>
          </cell>
          <cell r="P285">
            <v>48421</v>
          </cell>
          <cell r="Q285">
            <v>39295</v>
          </cell>
          <cell r="R285">
            <v>19</v>
          </cell>
          <cell r="S285">
            <v>39295</v>
          </cell>
          <cell r="T285" t="str">
            <v>POBLETE ESPINOZA FRANCISCO JAVIER</v>
          </cell>
          <cell r="U285" t="str">
            <v>FPOBL005@CODELCO.CL</v>
          </cell>
          <cell r="V285" t="str">
            <v>Gerencia de Operaciones</v>
          </cell>
          <cell r="W285" t="str">
            <v>Sptcia. Operacion Area Seca</v>
          </cell>
          <cell r="X285" t="str">
            <v>Sptcia. Operacion Area Seca</v>
          </cell>
          <cell r="Y285" t="str">
            <v>Operativo</v>
          </cell>
          <cell r="Z285" t="str">
            <v>Indefinido</v>
          </cell>
        </row>
        <row r="286">
          <cell r="A286" t="str">
            <v>64068</v>
          </cell>
          <cell r="B286" t="str">
            <v>115186949</v>
          </cell>
          <cell r="C286" t="str">
            <v>RAMOS GALLARDO JOSE ISRAEL</v>
          </cell>
          <cell r="D286" t="str">
            <v>Instructor Mina</v>
          </cell>
          <cell r="E286" t="str">
            <v>Oper. 7X7 12 Hrs TAB A05</v>
          </cell>
          <cell r="F286" t="str">
            <v>Masculino</v>
          </cell>
          <cell r="G286" t="str">
            <v>JRAMO022@CODELCO.CL</v>
          </cell>
          <cell r="H286">
            <v>56</v>
          </cell>
          <cell r="I286">
            <v>39295</v>
          </cell>
          <cell r="J286">
            <v>45474</v>
          </cell>
          <cell r="K286" t="str">
            <v>9</v>
          </cell>
          <cell r="L286">
            <v>42491</v>
          </cell>
          <cell r="M286">
            <v>39295</v>
          </cell>
          <cell r="N286">
            <v>45231</v>
          </cell>
          <cell r="O286">
            <v>45231</v>
          </cell>
          <cell r="P286">
            <v>49532</v>
          </cell>
          <cell r="Q286">
            <v>39295</v>
          </cell>
          <cell r="R286">
            <v>19</v>
          </cell>
          <cell r="S286">
            <v>39295</v>
          </cell>
          <cell r="T286" t="str">
            <v>Sin asignar</v>
          </cell>
          <cell r="U286" t="str">
            <v>Sin asignar</v>
          </cell>
          <cell r="V286" t="str">
            <v>Gerencia de Operaciones</v>
          </cell>
          <cell r="W286" t="str">
            <v>Sptcia. Ingenieria y Gestion Mina</v>
          </cell>
          <cell r="X286" t="str">
            <v>Sptcia. Ingenieria y Gestion Mina</v>
          </cell>
          <cell r="Y286" t="str">
            <v>Operativo</v>
          </cell>
          <cell r="Z286" t="str">
            <v>Indefinido</v>
          </cell>
        </row>
        <row r="287">
          <cell r="A287" t="str">
            <v>64070</v>
          </cell>
          <cell r="B287" t="str">
            <v>126019289</v>
          </cell>
          <cell r="C287" t="str">
            <v>NAVARRO CARVAJAL JUAN FRANCISCO</v>
          </cell>
          <cell r="D287" t="str">
            <v>Ing. Turno Op. Area Humeda</v>
          </cell>
          <cell r="E287" t="str">
            <v>Oper. 7X7 12 Hrs TAB G02</v>
          </cell>
          <cell r="F287" t="str">
            <v>Masculino</v>
          </cell>
          <cell r="G287" t="str">
            <v>JNAVA020@CODELCO.CL</v>
          </cell>
          <cell r="H287">
            <v>52</v>
          </cell>
          <cell r="I287">
            <v>39356</v>
          </cell>
          <cell r="J287">
            <v>45778</v>
          </cell>
          <cell r="K287" t="str">
            <v>8</v>
          </cell>
          <cell r="L287">
            <v>45778</v>
          </cell>
          <cell r="M287">
            <v>39356</v>
          </cell>
          <cell r="N287">
            <v>45778</v>
          </cell>
          <cell r="O287">
            <v>45778</v>
          </cell>
          <cell r="P287">
            <v>51022</v>
          </cell>
          <cell r="Q287">
            <v>39356</v>
          </cell>
          <cell r="R287">
            <v>19</v>
          </cell>
          <cell r="S287">
            <v>45778</v>
          </cell>
          <cell r="T287" t="str">
            <v>RETAMAL ORTIZ JORGE</v>
          </cell>
          <cell r="U287" t="str">
            <v>JRETA003@CODELCO.CL</v>
          </cell>
          <cell r="V287" t="str">
            <v>Gerencia de Operaciones</v>
          </cell>
          <cell r="W287" t="str">
            <v>Sptcia. Operacion Area Hum.</v>
          </cell>
          <cell r="X287" t="str">
            <v>Sptcia. Operacion Area Hum.</v>
          </cell>
          <cell r="Y287" t="str">
            <v>Profesional</v>
          </cell>
          <cell r="Z287" t="str">
            <v>Indefinido</v>
          </cell>
        </row>
        <row r="288">
          <cell r="A288" t="str">
            <v>64080</v>
          </cell>
          <cell r="B288" t="str">
            <v>119647606</v>
          </cell>
          <cell r="C288" t="str">
            <v>DEL VALLE SEPULVEDA RODRIGO HERADIO</v>
          </cell>
          <cell r="D288" t="str">
            <v>Operador Mina</v>
          </cell>
          <cell r="E288" t="str">
            <v>Oper. 7X7 12 Hrs TAB G03</v>
          </cell>
          <cell r="F288" t="str">
            <v>Masculino</v>
          </cell>
          <cell r="G288" t="str">
            <v>RDELVALL@CODELCO.CL</v>
          </cell>
          <cell r="H288">
            <v>54</v>
          </cell>
          <cell r="I288">
            <v>39303</v>
          </cell>
          <cell r="J288">
            <v>35432</v>
          </cell>
          <cell r="K288" t="str">
            <v>10</v>
          </cell>
          <cell r="L288">
            <v>40909</v>
          </cell>
          <cell r="M288">
            <v>39303</v>
          </cell>
          <cell r="N288">
            <v>35432</v>
          </cell>
          <cell r="O288">
            <v>35432</v>
          </cell>
          <cell r="P288">
            <v>50037</v>
          </cell>
          <cell r="Q288">
            <v>39303</v>
          </cell>
          <cell r="R288">
            <v>19</v>
          </cell>
          <cell r="S288">
            <v>39303</v>
          </cell>
          <cell r="T288" t="str">
            <v>ZUMELZU BRAVO MARYLIN</v>
          </cell>
          <cell r="U288" t="str">
            <v>MZUME001@CODELCO.CL</v>
          </cell>
          <cell r="V288" t="str">
            <v>Gerencia de Operaciones</v>
          </cell>
          <cell r="W288" t="str">
            <v>Sptcia. Operacion Mina</v>
          </cell>
          <cell r="X288" t="str">
            <v>Sptcia. Operacion Mina</v>
          </cell>
          <cell r="Y288" t="str">
            <v>Operativo</v>
          </cell>
          <cell r="Z288" t="str">
            <v>Indefinido</v>
          </cell>
        </row>
        <row r="289">
          <cell r="A289" t="str">
            <v>64086</v>
          </cell>
          <cell r="B289" t="str">
            <v>108087404</v>
          </cell>
          <cell r="C289" t="str">
            <v>RODRIGUEZ JEMIO ROSARIO DEL CARMEN</v>
          </cell>
          <cell r="D289" t="str">
            <v>Directora de Contabilidad</v>
          </cell>
          <cell r="E289" t="str">
            <v>Prof. 4X3 12 hrs</v>
          </cell>
          <cell r="F289" t="str">
            <v>Femenino</v>
          </cell>
          <cell r="G289" t="str">
            <v>RRODR006@CODELCO.CL</v>
          </cell>
          <cell r="H289">
            <v>58</v>
          </cell>
          <cell r="I289">
            <v>39295</v>
          </cell>
          <cell r="J289">
            <v>42979</v>
          </cell>
          <cell r="K289" t="str">
            <v>4</v>
          </cell>
          <cell r="L289">
            <v>42491</v>
          </cell>
          <cell r="M289">
            <v>39295</v>
          </cell>
          <cell r="N289">
            <v>42005</v>
          </cell>
          <cell r="O289">
            <v>42005</v>
          </cell>
          <cell r="P289">
            <v>47004</v>
          </cell>
          <cell r="Q289">
            <v>39295</v>
          </cell>
          <cell r="R289">
            <v>19</v>
          </cell>
          <cell r="S289">
            <v>39295</v>
          </cell>
          <cell r="T289" t="str">
            <v>BURGOS ARRATIA FRANCISCO EDUARDO</v>
          </cell>
          <cell r="U289" t="str">
            <v>FBURGOS@CODELCO.CL</v>
          </cell>
          <cell r="V289" t="str">
            <v>Gerencia de Administración</v>
          </cell>
          <cell r="W289" t="str">
            <v>Direccion de Contabilidad</v>
          </cell>
          <cell r="X289" t="str">
            <v>Direccion de Contabilidad</v>
          </cell>
          <cell r="Y289" t="str">
            <v>Profesional</v>
          </cell>
          <cell r="Z289" t="str">
            <v>Indefinido</v>
          </cell>
        </row>
        <row r="290">
          <cell r="A290" t="str">
            <v>64089</v>
          </cell>
          <cell r="B290" t="str">
            <v>135734985</v>
          </cell>
          <cell r="C290" t="str">
            <v>AGUILERA BARAHONA MARIA JOSE</v>
          </cell>
          <cell r="D290" t="str">
            <v>Coordinadora Administrativa</v>
          </cell>
          <cell r="E290" t="str">
            <v>Prof. 4X3 12 hrs</v>
          </cell>
          <cell r="F290" t="str">
            <v>Femenino</v>
          </cell>
          <cell r="G290" t="str">
            <v>MAGUI031@CODELCO.CL</v>
          </cell>
          <cell r="H290">
            <v>47</v>
          </cell>
          <cell r="I290">
            <v>39387</v>
          </cell>
          <cell r="J290">
            <v>43525</v>
          </cell>
          <cell r="K290" t="str">
            <v>10</v>
          </cell>
          <cell r="L290">
            <v>43586</v>
          </cell>
          <cell r="M290">
            <v>39387</v>
          </cell>
          <cell r="N290">
            <v>41124</v>
          </cell>
          <cell r="O290">
            <v>40758</v>
          </cell>
          <cell r="P290">
            <v>50599</v>
          </cell>
          <cell r="Q290">
            <v>39295</v>
          </cell>
          <cell r="R290">
            <v>19</v>
          </cell>
          <cell r="S290">
            <v>39387</v>
          </cell>
          <cell r="T290" t="str">
            <v>BURGOS ARRATIA FRANCISCO EDUARDO</v>
          </cell>
          <cell r="U290" t="str">
            <v>FBURGOS@CODELCO.CL</v>
          </cell>
          <cell r="V290" t="str">
            <v>Gerencia de Administración</v>
          </cell>
          <cell r="W290" t="str">
            <v>Sin asignar</v>
          </cell>
          <cell r="X290" t="str">
            <v>Gerencia de Administración</v>
          </cell>
          <cell r="Y290" t="str">
            <v>Operativo</v>
          </cell>
          <cell r="Z290" t="str">
            <v>Indefinido</v>
          </cell>
        </row>
        <row r="291">
          <cell r="A291" t="str">
            <v>64091</v>
          </cell>
          <cell r="B291" t="str">
            <v>165546881</v>
          </cell>
          <cell r="C291" t="str">
            <v>AGUILERA BUSTOS ANGELO FABRICIO</v>
          </cell>
          <cell r="D291" t="str">
            <v>Especialista Operativo</v>
          </cell>
          <cell r="E291" t="str">
            <v>Oper. 7X7 12 Hrs TAB G03</v>
          </cell>
          <cell r="F291" t="str">
            <v>Masculino</v>
          </cell>
          <cell r="G291" t="str">
            <v>AAGUI022@CODELCO.CL</v>
          </cell>
          <cell r="H291">
            <v>39</v>
          </cell>
          <cell r="I291">
            <v>39448</v>
          </cell>
          <cell r="J291">
            <v>44531</v>
          </cell>
          <cell r="K291" t="str">
            <v>8</v>
          </cell>
          <cell r="L291">
            <v>42491</v>
          </cell>
          <cell r="M291">
            <v>39448</v>
          </cell>
          <cell r="N291">
            <v>44531</v>
          </cell>
          <cell r="O291">
            <v>44531</v>
          </cell>
          <cell r="P291">
            <v>55563</v>
          </cell>
          <cell r="Q291">
            <v>39448</v>
          </cell>
          <cell r="R291">
            <v>18</v>
          </cell>
          <cell r="S291">
            <v>39448</v>
          </cell>
          <cell r="T291" t="str">
            <v>SOTO MEJIAS ESTEBAN</v>
          </cell>
          <cell r="U291" t="str">
            <v>ESOTO018@CODELCO.CL</v>
          </cell>
          <cell r="V291" t="str">
            <v>Gerencia de Operaciones</v>
          </cell>
          <cell r="W291" t="str">
            <v>Sptcia. Operacion Area Hum.</v>
          </cell>
          <cell r="X291" t="str">
            <v>Sptcia. Operacion Area Hum.</v>
          </cell>
          <cell r="Y291" t="str">
            <v>Operativo</v>
          </cell>
          <cell r="Z291" t="str">
            <v>Indefinido</v>
          </cell>
        </row>
        <row r="292">
          <cell r="A292" t="str">
            <v>64097</v>
          </cell>
          <cell r="B292" t="str">
            <v>012938364K</v>
          </cell>
          <cell r="C292" t="str">
            <v>BERNAL REYES PEDRO DAVID</v>
          </cell>
          <cell r="D292" t="str">
            <v>Analista Geomensor</v>
          </cell>
          <cell r="E292" t="str">
            <v>Oper. 7X7 12 Hrs TAB A06</v>
          </cell>
          <cell r="F292" t="str">
            <v>Masculino</v>
          </cell>
          <cell r="G292" t="str">
            <v>PBERN003@CODELCO.CL</v>
          </cell>
          <cell r="H292">
            <v>49</v>
          </cell>
          <cell r="I292">
            <v>39661</v>
          </cell>
          <cell r="J292">
            <v>35432</v>
          </cell>
          <cell r="K292" t="str">
            <v>9</v>
          </cell>
          <cell r="L292">
            <v>42856</v>
          </cell>
          <cell r="M292">
            <v>39661</v>
          </cell>
          <cell r="N292">
            <v>35432</v>
          </cell>
          <cell r="O292">
            <v>35432</v>
          </cell>
          <cell r="P292">
            <v>51681</v>
          </cell>
          <cell r="Q292">
            <v>39387</v>
          </cell>
          <cell r="R292">
            <v>18</v>
          </cell>
          <cell r="S292">
            <v>39661</v>
          </cell>
          <cell r="T292" t="str">
            <v>CAFFARENA BARCENILLA FELIPE ALBERTO</v>
          </cell>
          <cell r="U292" t="str">
            <v>FCAFFARE@CODELCO.CL</v>
          </cell>
          <cell r="V292" t="str">
            <v>Gerencia de Recursos Mineros y Desarr</v>
          </cell>
          <cell r="W292" t="str">
            <v>Superintendencia Planificacion Minera</v>
          </cell>
          <cell r="X292" t="str">
            <v>Planificacion Mina Corto Plazo</v>
          </cell>
          <cell r="Y292" t="str">
            <v>Operativo</v>
          </cell>
          <cell r="Z292" t="str">
            <v>Indefinido</v>
          </cell>
        </row>
        <row r="293">
          <cell r="A293" t="str">
            <v>64098</v>
          </cell>
          <cell r="B293" t="str">
            <v>014111896K</v>
          </cell>
          <cell r="C293" t="str">
            <v>RUZ MIRANDA DANIEL ESTEBAN</v>
          </cell>
          <cell r="D293" t="str">
            <v>Ing. Especialista Mtto. Mina</v>
          </cell>
          <cell r="E293" t="str">
            <v>Prof. 4X3 12 hrs</v>
          </cell>
          <cell r="F293" t="str">
            <v>Masculino</v>
          </cell>
          <cell r="G293" t="str">
            <v>DRUZ@CODELCO.CL</v>
          </cell>
          <cell r="H293">
            <v>45</v>
          </cell>
          <cell r="I293">
            <v>39479</v>
          </cell>
          <cell r="J293">
            <v>40817</v>
          </cell>
          <cell r="K293" t="str">
            <v>#</v>
          </cell>
          <cell r="L293">
            <v>45597</v>
          </cell>
          <cell r="M293">
            <v>39479</v>
          </cell>
          <cell r="N293">
            <v>39508</v>
          </cell>
          <cell r="O293">
            <v>46082</v>
          </cell>
          <cell r="P293">
            <v>51694</v>
          </cell>
          <cell r="Q293">
            <v>39387</v>
          </cell>
          <cell r="R293">
            <v>18</v>
          </cell>
          <cell r="S293">
            <v>39479</v>
          </cell>
          <cell r="T293" t="str">
            <v>COLLAO FRE HECTOR</v>
          </cell>
          <cell r="U293" t="str">
            <v>HCOLL004@CODELCO.CL</v>
          </cell>
          <cell r="V293" t="str">
            <v>Gerencia de Mantenimiento</v>
          </cell>
          <cell r="W293" t="str">
            <v>Sptcia. Mtto. Mina</v>
          </cell>
          <cell r="X293" t="str">
            <v>Sptcia. Mtto. Mina</v>
          </cell>
          <cell r="Y293" t="str">
            <v>Profesional</v>
          </cell>
          <cell r="Z293" t="str">
            <v>Indefinido</v>
          </cell>
        </row>
        <row r="294">
          <cell r="A294" t="str">
            <v>64101</v>
          </cell>
          <cell r="B294" t="str">
            <v>125814085</v>
          </cell>
          <cell r="C294" t="str">
            <v>CELTI ALVAREZ RICARDO ANTONIO</v>
          </cell>
          <cell r="D294" t="str">
            <v>Operador Planta AH</v>
          </cell>
          <cell r="E294" t="str">
            <v>Oper. 7X7 12 Hrs TAB G03</v>
          </cell>
          <cell r="F294" t="str">
            <v>Masculino</v>
          </cell>
          <cell r="G294" t="str">
            <v>RCELTI@CODELCO.CL</v>
          </cell>
          <cell r="H294">
            <v>52</v>
          </cell>
          <cell r="I294">
            <v>39448</v>
          </cell>
          <cell r="J294">
            <v>41225</v>
          </cell>
          <cell r="K294" t="str">
            <v>10</v>
          </cell>
          <cell r="L294">
            <v>45413</v>
          </cell>
          <cell r="M294">
            <v>39448</v>
          </cell>
          <cell r="N294">
            <v>41225</v>
          </cell>
          <cell r="O294">
            <v>41225</v>
          </cell>
          <cell r="P294">
            <v>50783</v>
          </cell>
          <cell r="Q294">
            <v>39448</v>
          </cell>
          <cell r="R294">
            <v>18</v>
          </cell>
          <cell r="S294">
            <v>39448</v>
          </cell>
          <cell r="T294" t="str">
            <v>NAVARRO CARVAJAL JUAN FRANCISCO</v>
          </cell>
          <cell r="U294" t="str">
            <v>JNAVA020@CODELCO.CL</v>
          </cell>
          <cell r="V294" t="str">
            <v>Gerencia de Operaciones</v>
          </cell>
          <cell r="W294" t="str">
            <v>Sptcia. Operacion Area Hum.</v>
          </cell>
          <cell r="X294" t="str">
            <v>Sx Ew y Patio de Embarque</v>
          </cell>
          <cell r="Y294" t="str">
            <v>Operativo</v>
          </cell>
          <cell r="Z294" t="str">
            <v>Indefinido</v>
          </cell>
        </row>
        <row r="295">
          <cell r="A295" t="str">
            <v>64102</v>
          </cell>
          <cell r="B295" t="str">
            <v>155689943</v>
          </cell>
          <cell r="C295" t="str">
            <v>TORO PALMA ERIC ALEJANDRO</v>
          </cell>
          <cell r="D295" t="str">
            <v>Instructor Area Seca</v>
          </cell>
          <cell r="E295" t="str">
            <v>Prof. 4X3 12 hrs</v>
          </cell>
          <cell r="F295" t="str">
            <v>Masculino</v>
          </cell>
          <cell r="G295" t="str">
            <v>ETORO010@CODELCO.CL</v>
          </cell>
          <cell r="H295">
            <v>43</v>
          </cell>
          <cell r="I295">
            <v>39387</v>
          </cell>
          <cell r="J295">
            <v>45931</v>
          </cell>
          <cell r="K295" t="str">
            <v>10</v>
          </cell>
          <cell r="L295">
            <v>45931</v>
          </cell>
          <cell r="M295">
            <v>39387</v>
          </cell>
          <cell r="N295">
            <v>40057</v>
          </cell>
          <cell r="O295">
            <v>40057</v>
          </cell>
          <cell r="P295">
            <v>54094</v>
          </cell>
          <cell r="Q295">
            <v>39387</v>
          </cell>
          <cell r="R295">
            <v>19</v>
          </cell>
          <cell r="S295">
            <v>39387</v>
          </cell>
          <cell r="T295" t="str">
            <v>LAU Olmos EDUARDO</v>
          </cell>
          <cell r="U295" t="str">
            <v>ELAU@CODELCO.CL</v>
          </cell>
          <cell r="V295" t="str">
            <v>Gerencia de Operaciones</v>
          </cell>
          <cell r="W295" t="str">
            <v>Sptcia. Operacion Area Seca</v>
          </cell>
          <cell r="X295" t="str">
            <v>Sptcia. Operacion Area Seca</v>
          </cell>
          <cell r="Y295" t="str">
            <v>Operativo</v>
          </cell>
          <cell r="Z295" t="str">
            <v>Indefinido</v>
          </cell>
        </row>
        <row r="296">
          <cell r="A296" t="str">
            <v>64103</v>
          </cell>
          <cell r="B296" t="str">
            <v>165256662</v>
          </cell>
          <cell r="C296" t="str">
            <v>CRUZ ARMELLA CRISTIAN RODRIGO</v>
          </cell>
          <cell r="D296" t="str">
            <v>Operador Mina</v>
          </cell>
          <cell r="E296" t="str">
            <v>Oper. 7X7 12 Hrs TAB G01</v>
          </cell>
          <cell r="F296" t="str">
            <v>Masculino</v>
          </cell>
          <cell r="G296" t="str">
            <v>CCRUZ010@CODELCO.CL</v>
          </cell>
          <cell r="H296">
            <v>39</v>
          </cell>
          <cell r="I296">
            <v>39448</v>
          </cell>
          <cell r="J296">
            <v>39569</v>
          </cell>
          <cell r="K296" t="str">
            <v>10</v>
          </cell>
          <cell r="L296">
            <v>42491</v>
          </cell>
          <cell r="M296">
            <v>39448</v>
          </cell>
          <cell r="N296">
            <v>36008</v>
          </cell>
          <cell r="O296">
            <v>35613</v>
          </cell>
          <cell r="P296">
            <v>55559</v>
          </cell>
          <cell r="Q296">
            <v>39363</v>
          </cell>
          <cell r="R296">
            <v>18</v>
          </cell>
          <cell r="S296">
            <v>39448</v>
          </cell>
          <cell r="T296" t="str">
            <v>ICETA BAEZA ANTONIO</v>
          </cell>
          <cell r="U296" t="str">
            <v>AICETA@CODELCO.CL</v>
          </cell>
          <cell r="V296" t="str">
            <v>Gerencia de Operaciones</v>
          </cell>
          <cell r="W296" t="str">
            <v>Sptcia. Operacion Mina</v>
          </cell>
          <cell r="X296" t="str">
            <v>Sptcia. Operacion Mina</v>
          </cell>
          <cell r="Y296" t="str">
            <v>Operativo</v>
          </cell>
          <cell r="Z296" t="str">
            <v>Indefinido</v>
          </cell>
        </row>
        <row r="297">
          <cell r="A297" t="str">
            <v>64104</v>
          </cell>
          <cell r="B297" t="str">
            <v>167603149</v>
          </cell>
          <cell r="C297" t="str">
            <v>CARTES BUSTOS CAMILO FERNANDO</v>
          </cell>
          <cell r="D297" t="str">
            <v>Operador Chancado Primario</v>
          </cell>
          <cell r="E297" t="str">
            <v>Oper. 7X7 12 Hrs TAB G02</v>
          </cell>
          <cell r="F297" t="str">
            <v>Masculino</v>
          </cell>
          <cell r="G297" t="str">
            <v>CCART002@CODELCO.CL</v>
          </cell>
          <cell r="H297">
            <v>38</v>
          </cell>
          <cell r="I297">
            <v>39387</v>
          </cell>
          <cell r="J297">
            <v>41350</v>
          </cell>
          <cell r="K297" t="str">
            <v>10</v>
          </cell>
          <cell r="L297">
            <v>45778</v>
          </cell>
          <cell r="M297">
            <v>39387</v>
          </cell>
          <cell r="N297">
            <v>41350</v>
          </cell>
          <cell r="O297">
            <v>41260</v>
          </cell>
          <cell r="P297">
            <v>55931</v>
          </cell>
          <cell r="Q297">
            <v>39387</v>
          </cell>
          <cell r="R297">
            <v>19</v>
          </cell>
          <cell r="S297">
            <v>39387</v>
          </cell>
          <cell r="T297" t="str">
            <v>CASTILLO OROSTICA ADRIANO BALTAZAR</v>
          </cell>
          <cell r="U297" t="str">
            <v>ACAST080@CODELCO.CL</v>
          </cell>
          <cell r="V297" t="str">
            <v>Gerencia de Operaciones</v>
          </cell>
          <cell r="W297" t="str">
            <v>Sptcia. Operacion Area Seca</v>
          </cell>
          <cell r="X297" t="str">
            <v>Sptcia. Operacion Area Seca</v>
          </cell>
          <cell r="Y297" t="str">
            <v>Operativo</v>
          </cell>
          <cell r="Z297" t="str">
            <v>Indefinido</v>
          </cell>
        </row>
        <row r="298">
          <cell r="A298" t="str">
            <v>64105</v>
          </cell>
          <cell r="B298" t="str">
            <v>137431688</v>
          </cell>
          <cell r="C298" t="str">
            <v>LOVERA YUFLA ELISEO LUIS</v>
          </cell>
          <cell r="D298" t="str">
            <v>Operador Planta AH</v>
          </cell>
          <cell r="E298" t="str">
            <v>Oper. 7X7 12 Hrs TAB G02</v>
          </cell>
          <cell r="F298" t="str">
            <v>Masculino</v>
          </cell>
          <cell r="G298" t="str">
            <v>ELOVERA@CODELCO.CL</v>
          </cell>
          <cell r="H298">
            <v>46</v>
          </cell>
          <cell r="I298">
            <v>39448</v>
          </cell>
          <cell r="J298">
            <v>35432</v>
          </cell>
          <cell r="K298" t="str">
            <v>10</v>
          </cell>
          <cell r="L298">
            <v>40909</v>
          </cell>
          <cell r="M298">
            <v>39448</v>
          </cell>
          <cell r="N298">
            <v>35432</v>
          </cell>
          <cell r="O298">
            <v>35432</v>
          </cell>
          <cell r="P298">
            <v>53023</v>
          </cell>
          <cell r="Q298">
            <v>39448</v>
          </cell>
          <cell r="R298">
            <v>18</v>
          </cell>
          <cell r="S298">
            <v>39448</v>
          </cell>
          <cell r="T298" t="str">
            <v>CORREA MENDOZA CAMILA</v>
          </cell>
          <cell r="U298" t="str">
            <v>CCORR014@CODELCO.CL</v>
          </cell>
          <cell r="V298" t="str">
            <v>Gerencia de Operaciones</v>
          </cell>
          <cell r="W298" t="str">
            <v>Sptcia. Operacion Area Hum.</v>
          </cell>
          <cell r="X298" t="str">
            <v>Sx Ew y Patio de Embarque</v>
          </cell>
          <cell r="Y298" t="str">
            <v>Operativo</v>
          </cell>
          <cell r="Z298" t="str">
            <v>Indefinido</v>
          </cell>
        </row>
        <row r="299">
          <cell r="A299" t="str">
            <v>64106</v>
          </cell>
          <cell r="B299" t="str">
            <v>166500354</v>
          </cell>
          <cell r="C299" t="str">
            <v>CIFUENTES MUÑOZ DEIBY ANDRES</v>
          </cell>
          <cell r="D299" t="str">
            <v>Operador Mina</v>
          </cell>
          <cell r="E299" t="str">
            <v>Oper. 7X7 12 Hrs TAB G04</v>
          </cell>
          <cell r="F299" t="str">
            <v>Masculino</v>
          </cell>
          <cell r="G299" t="str">
            <v>DCIFU002@CODELCO.CL</v>
          </cell>
          <cell r="H299">
            <v>39</v>
          </cell>
          <cell r="I299">
            <v>39448</v>
          </cell>
          <cell r="J299">
            <v>41225</v>
          </cell>
          <cell r="K299" t="str">
            <v>10</v>
          </cell>
          <cell r="L299">
            <v>45413</v>
          </cell>
          <cell r="M299">
            <v>39448</v>
          </cell>
          <cell r="N299">
            <v>41225</v>
          </cell>
          <cell r="O299">
            <v>41225</v>
          </cell>
          <cell r="P299">
            <v>55604</v>
          </cell>
          <cell r="Q299">
            <v>39363</v>
          </cell>
          <cell r="R299">
            <v>18</v>
          </cell>
          <cell r="S299">
            <v>39448</v>
          </cell>
          <cell r="T299" t="str">
            <v>Sin asignar</v>
          </cell>
          <cell r="U299" t="str">
            <v>Sin asignar</v>
          </cell>
          <cell r="V299" t="str">
            <v>Gerencia de Operaciones</v>
          </cell>
          <cell r="W299" t="str">
            <v>Sptcia. Operacion Mina</v>
          </cell>
          <cell r="X299" t="str">
            <v>Sptcia. Operacion Mina</v>
          </cell>
          <cell r="Y299" t="str">
            <v>Operativo</v>
          </cell>
          <cell r="Z299" t="str">
            <v>Indefinido</v>
          </cell>
        </row>
        <row r="300">
          <cell r="A300" t="str">
            <v>64108</v>
          </cell>
          <cell r="B300" t="str">
            <v>154846581</v>
          </cell>
          <cell r="C300" t="str">
            <v>OLMOS VERGARA CAMILO ENRIQUE</v>
          </cell>
          <cell r="D300" t="str">
            <v>Especialista Operativo AH</v>
          </cell>
          <cell r="E300" t="str">
            <v>Oper. 7X7 12 Hrs TAB G02</v>
          </cell>
          <cell r="F300" t="str">
            <v>Masculino</v>
          </cell>
          <cell r="G300" t="str">
            <v>COLMO007@CODELCO.CL</v>
          </cell>
          <cell r="H300">
            <v>44</v>
          </cell>
          <cell r="I300">
            <v>39448</v>
          </cell>
          <cell r="J300">
            <v>45870</v>
          </cell>
          <cell r="K300" t="str">
            <v>9</v>
          </cell>
          <cell r="L300">
            <v>45870</v>
          </cell>
          <cell r="M300">
            <v>39448</v>
          </cell>
          <cell r="N300">
            <v>45894</v>
          </cell>
          <cell r="O300">
            <v>45894</v>
          </cell>
          <cell r="P300">
            <v>53827</v>
          </cell>
          <cell r="Q300">
            <v>39448</v>
          </cell>
          <cell r="R300">
            <v>18</v>
          </cell>
          <cell r="S300">
            <v>39448</v>
          </cell>
          <cell r="T300" t="str">
            <v>NAVARRO CARVAJAL JUAN FRANCISCO</v>
          </cell>
          <cell r="U300" t="str">
            <v>JNAVA020@CODELCO.CL</v>
          </cell>
          <cell r="V300" t="str">
            <v>Gerencia de Operaciones</v>
          </cell>
          <cell r="W300" t="str">
            <v>Sptcia. Operacion Area Hum.</v>
          </cell>
          <cell r="X300" t="str">
            <v>Sptcia. Operacion Area Hum.</v>
          </cell>
          <cell r="Y300" t="str">
            <v>Operativo</v>
          </cell>
          <cell r="Z300" t="str">
            <v>Indefinido</v>
          </cell>
        </row>
        <row r="301">
          <cell r="A301" t="str">
            <v>64111</v>
          </cell>
          <cell r="B301" t="str">
            <v>120659588</v>
          </cell>
          <cell r="C301" t="str">
            <v>RAMOS SOLIZ CESAR ALEXIS</v>
          </cell>
          <cell r="D301" t="str">
            <v>Operador Mina</v>
          </cell>
          <cell r="E301" t="str">
            <v>Oper. 7X7 12 Hrs TAB G02</v>
          </cell>
          <cell r="F301" t="str">
            <v>Masculino</v>
          </cell>
          <cell r="G301" t="str">
            <v>CRAMO007@CODELCO.CL</v>
          </cell>
          <cell r="H301">
            <v>45</v>
          </cell>
          <cell r="I301">
            <v>39448</v>
          </cell>
          <cell r="J301">
            <v>39569</v>
          </cell>
          <cell r="K301" t="str">
            <v>10</v>
          </cell>
          <cell r="L301">
            <v>40909</v>
          </cell>
          <cell r="M301">
            <v>39448</v>
          </cell>
          <cell r="N301">
            <v>36008</v>
          </cell>
          <cell r="O301">
            <v>35613</v>
          </cell>
          <cell r="P301">
            <v>53493</v>
          </cell>
          <cell r="Q301">
            <v>39363</v>
          </cell>
          <cell r="R301">
            <v>18</v>
          </cell>
          <cell r="S301">
            <v>39448</v>
          </cell>
          <cell r="T301" t="str">
            <v>ORTEGA ORTUYA CARLOS</v>
          </cell>
          <cell r="U301" t="str">
            <v>CORTE009@CODELCO.CL</v>
          </cell>
          <cell r="V301" t="str">
            <v>Gerencia de Operaciones</v>
          </cell>
          <cell r="W301" t="str">
            <v>Sptcia. Operacion Mina</v>
          </cell>
          <cell r="X301" t="str">
            <v>Sptcia. Operacion Mina</v>
          </cell>
          <cell r="Y301" t="str">
            <v>Operativo</v>
          </cell>
          <cell r="Z301" t="str">
            <v>Indefinido</v>
          </cell>
        </row>
        <row r="302">
          <cell r="A302" t="str">
            <v>64112</v>
          </cell>
          <cell r="B302" t="str">
            <v>157700111</v>
          </cell>
          <cell r="C302" t="str">
            <v>ROWE AYBAR CRISTIAN VIRGILIO</v>
          </cell>
          <cell r="D302" t="str">
            <v>Especialista Operativo AS</v>
          </cell>
          <cell r="E302" t="str">
            <v>Oper. 7X7 12 Hrs TAB G01</v>
          </cell>
          <cell r="F302" t="str">
            <v>Masculino</v>
          </cell>
          <cell r="G302" t="str">
            <v>CROWE@CODELCO.CL</v>
          </cell>
          <cell r="H302">
            <v>41</v>
          </cell>
          <cell r="I302">
            <v>39387</v>
          </cell>
          <cell r="J302">
            <v>44287</v>
          </cell>
          <cell r="K302" t="str">
            <v>#</v>
          </cell>
          <cell r="L302">
            <v>42186</v>
          </cell>
          <cell r="M302">
            <v>39387</v>
          </cell>
          <cell r="N302">
            <v>42064</v>
          </cell>
          <cell r="O302">
            <v>42064</v>
          </cell>
          <cell r="P302">
            <v>54685</v>
          </cell>
          <cell r="Q302">
            <v>39387</v>
          </cell>
          <cell r="R302">
            <v>19</v>
          </cell>
          <cell r="S302">
            <v>39387</v>
          </cell>
          <cell r="T302" t="str">
            <v>POBLETE ESPINOZA FRANCISCO JAVIER</v>
          </cell>
          <cell r="U302" t="str">
            <v>FPOBL005@CODELCO.CL</v>
          </cell>
          <cell r="V302" t="str">
            <v>Gerencia de Operaciones</v>
          </cell>
          <cell r="W302" t="str">
            <v>Sptcia. Operacion Area Seca</v>
          </cell>
          <cell r="X302" t="str">
            <v>Sptcia. Operacion Area Seca</v>
          </cell>
          <cell r="Y302" t="str">
            <v>Operativo</v>
          </cell>
          <cell r="Z302" t="str">
            <v>Indefinido</v>
          </cell>
        </row>
        <row r="303">
          <cell r="A303" t="str">
            <v>64113</v>
          </cell>
          <cell r="B303" t="str">
            <v>145532531</v>
          </cell>
          <cell r="C303" t="str">
            <v>GARCIA GONZALEZ JOSE LUIS</v>
          </cell>
          <cell r="D303" t="str">
            <v>Operador Mayor Planta AH</v>
          </cell>
          <cell r="E303" t="str">
            <v>Oper. 7X7 12 Hrs TAB A06</v>
          </cell>
          <cell r="F303" t="str">
            <v>Masculino</v>
          </cell>
          <cell r="G303" t="str">
            <v>JGARC026@CODELCO.CL</v>
          </cell>
          <cell r="H303">
            <v>48</v>
          </cell>
          <cell r="I303">
            <v>39448</v>
          </cell>
          <cell r="J303">
            <v>44531</v>
          </cell>
          <cell r="K303" t="str">
            <v>9</v>
          </cell>
          <cell r="L303">
            <v>43586</v>
          </cell>
          <cell r="M303">
            <v>39448</v>
          </cell>
          <cell r="N303">
            <v>44531</v>
          </cell>
          <cell r="O303">
            <v>44531</v>
          </cell>
          <cell r="P303">
            <v>52130</v>
          </cell>
          <cell r="Q303">
            <v>39448</v>
          </cell>
          <cell r="R303">
            <v>18</v>
          </cell>
          <cell r="S303">
            <v>39448</v>
          </cell>
          <cell r="T303" t="str">
            <v>SOTO MEJIAS ESTEBAN</v>
          </cell>
          <cell r="U303" t="str">
            <v>ESOTO018@CODELCO.CL</v>
          </cell>
          <cell r="V303" t="str">
            <v>Gerencia de Operaciones</v>
          </cell>
          <cell r="W303" t="str">
            <v>Sptcia. Operacion Area Hum.</v>
          </cell>
          <cell r="X303" t="str">
            <v>Sptcia. Operacion Area Hum.</v>
          </cell>
          <cell r="Y303" t="str">
            <v>Operativo</v>
          </cell>
          <cell r="Z303" t="str">
            <v>Indefinido</v>
          </cell>
        </row>
        <row r="304">
          <cell r="A304" t="str">
            <v>64114</v>
          </cell>
          <cell r="B304" t="str">
            <v>135296430</v>
          </cell>
          <cell r="C304" t="str">
            <v>LUCAS BRAVO ALBERTO HUMBERTO</v>
          </cell>
          <cell r="D304" t="str">
            <v>Especialista Operativo</v>
          </cell>
          <cell r="E304" t="str">
            <v>Prof. 4X3 12 hrs</v>
          </cell>
          <cell r="F304" t="str">
            <v>Masculino</v>
          </cell>
          <cell r="G304" t="str">
            <v>ALUCAS@CODELCO.CL</v>
          </cell>
          <cell r="H304">
            <v>46</v>
          </cell>
          <cell r="I304">
            <v>39448</v>
          </cell>
          <cell r="J304">
            <v>35432</v>
          </cell>
          <cell r="K304" t="str">
            <v>#</v>
          </cell>
          <cell r="L304">
            <v>43586</v>
          </cell>
          <cell r="M304">
            <v>39448</v>
          </cell>
          <cell r="N304">
            <v>35432</v>
          </cell>
          <cell r="O304">
            <v>35432</v>
          </cell>
          <cell r="P304">
            <v>52862</v>
          </cell>
          <cell r="Q304">
            <v>39448</v>
          </cell>
          <cell r="R304">
            <v>18</v>
          </cell>
          <cell r="S304">
            <v>39448</v>
          </cell>
          <cell r="T304" t="str">
            <v>ROJAS MARAMBIO EDGARDO</v>
          </cell>
          <cell r="U304" t="str">
            <v>GROJA015@CODELCO.CL</v>
          </cell>
          <cell r="V304" t="str">
            <v>Gerencia de Operaciones</v>
          </cell>
          <cell r="W304" t="str">
            <v>Sptcia. Operacion Area Hum.</v>
          </cell>
          <cell r="X304" t="str">
            <v>Sptcia. Operacion Area Hum.</v>
          </cell>
          <cell r="Y304" t="str">
            <v>Operativo</v>
          </cell>
          <cell r="Z304" t="str">
            <v>Indefinido</v>
          </cell>
        </row>
        <row r="305">
          <cell r="A305" t="str">
            <v>64115</v>
          </cell>
          <cell r="B305" t="str">
            <v>165936779</v>
          </cell>
          <cell r="C305" t="str">
            <v>GONZALEZ DEL SOLAR FREDDY ANDRES</v>
          </cell>
          <cell r="D305" t="str">
            <v>Operador Planta AS</v>
          </cell>
          <cell r="E305" t="str">
            <v>Oper. 7X7 12 Hrs TAB G02</v>
          </cell>
          <cell r="F305" t="str">
            <v>Masculino</v>
          </cell>
          <cell r="G305" t="str">
            <v>FGONZ035@CODELCO.CL</v>
          </cell>
          <cell r="H305">
            <v>38</v>
          </cell>
          <cell r="I305">
            <v>39387</v>
          </cell>
          <cell r="J305">
            <v>39814</v>
          </cell>
          <cell r="K305" t="str">
            <v>10</v>
          </cell>
          <cell r="L305">
            <v>45413</v>
          </cell>
          <cell r="M305">
            <v>39387</v>
          </cell>
          <cell r="N305">
            <v>37347</v>
          </cell>
          <cell r="O305">
            <v>37347</v>
          </cell>
          <cell r="P305">
            <v>55786</v>
          </cell>
          <cell r="Q305">
            <v>39387</v>
          </cell>
          <cell r="R305">
            <v>19</v>
          </cell>
          <cell r="S305">
            <v>39387</v>
          </cell>
          <cell r="T305" t="str">
            <v>CASTILLO OROSTICA ADRIANO BALTAZAR</v>
          </cell>
          <cell r="U305" t="str">
            <v>ACAST080@CODELCO.CL</v>
          </cell>
          <cell r="V305" t="str">
            <v>Gerencia de Operaciones</v>
          </cell>
          <cell r="W305" t="str">
            <v>Sptcia. Operacion Area Seca</v>
          </cell>
          <cell r="X305" t="str">
            <v>Sptcia. Operacion Area Seca</v>
          </cell>
          <cell r="Y305" t="str">
            <v>Operativo</v>
          </cell>
          <cell r="Z305" t="str">
            <v>Indefinido</v>
          </cell>
        </row>
        <row r="306">
          <cell r="A306" t="str">
            <v>64116</v>
          </cell>
          <cell r="B306" t="str">
            <v>156909734</v>
          </cell>
          <cell r="C306" t="str">
            <v>VASQUEZ VERA SEBASTIAN ANDRES</v>
          </cell>
          <cell r="D306" t="str">
            <v>Operador Planta AS</v>
          </cell>
          <cell r="E306" t="str">
            <v>Oper. 7X7 12 Hrs TAB G04</v>
          </cell>
          <cell r="F306" t="str">
            <v>Masculino</v>
          </cell>
          <cell r="G306" t="str">
            <v>SVASQ009@CODELCO.CL</v>
          </cell>
          <cell r="H306">
            <v>42</v>
          </cell>
          <cell r="I306">
            <v>39448</v>
          </cell>
          <cell r="J306">
            <v>45323</v>
          </cell>
          <cell r="K306" t="str">
            <v>10</v>
          </cell>
          <cell r="L306">
            <v>43221</v>
          </cell>
          <cell r="M306">
            <v>39448</v>
          </cell>
          <cell r="N306">
            <v>41640</v>
          </cell>
          <cell r="O306">
            <v>41640</v>
          </cell>
          <cell r="P306">
            <v>54325</v>
          </cell>
          <cell r="Q306">
            <v>39448</v>
          </cell>
          <cell r="R306">
            <v>18</v>
          </cell>
          <cell r="S306">
            <v>39448</v>
          </cell>
          <cell r="T306" t="str">
            <v>ARAYA JAIME VALESKA</v>
          </cell>
          <cell r="U306" t="str">
            <v>VARAY013@CODELCO.CL</v>
          </cell>
          <cell r="V306" t="str">
            <v>Gerencia de Operaciones</v>
          </cell>
          <cell r="W306" t="str">
            <v>Sptcia. Operacion Area Seca</v>
          </cell>
          <cell r="X306" t="str">
            <v>Sptcia. Operacion Area Seca</v>
          </cell>
          <cell r="Y306" t="str">
            <v>Operativo</v>
          </cell>
          <cell r="Z306" t="str">
            <v>Indefinido</v>
          </cell>
        </row>
        <row r="307">
          <cell r="A307" t="str">
            <v>64118</v>
          </cell>
          <cell r="B307" t="str">
            <v>125757464</v>
          </cell>
          <cell r="C307" t="str">
            <v>DIAZ MUÑOZ PATRICIO ANDRES</v>
          </cell>
          <cell r="D307" t="str">
            <v>Operador Planta AH</v>
          </cell>
          <cell r="E307" t="str">
            <v>Oper. 7X7 12 Hrs TAB A05</v>
          </cell>
          <cell r="F307" t="str">
            <v>Masculino</v>
          </cell>
          <cell r="G307" t="str">
            <v>PDIAZ026@CODELCO.CL</v>
          </cell>
          <cell r="H307">
            <v>51</v>
          </cell>
          <cell r="I307">
            <v>39448</v>
          </cell>
          <cell r="J307">
            <v>35432</v>
          </cell>
          <cell r="K307" t="str">
            <v>10</v>
          </cell>
          <cell r="L307">
            <v>45778</v>
          </cell>
          <cell r="M307">
            <v>39448</v>
          </cell>
          <cell r="N307">
            <v>35432</v>
          </cell>
          <cell r="O307">
            <v>35432</v>
          </cell>
          <cell r="P307">
            <v>51068</v>
          </cell>
          <cell r="Q307">
            <v>39448</v>
          </cell>
          <cell r="R307">
            <v>18</v>
          </cell>
          <cell r="S307">
            <v>39448</v>
          </cell>
          <cell r="T307" t="str">
            <v>CORREA MENDOZA CAMILA</v>
          </cell>
          <cell r="U307" t="str">
            <v>CCORR014@CODELCO.CL</v>
          </cell>
          <cell r="V307" t="str">
            <v>Gerencia de Operaciones</v>
          </cell>
          <cell r="W307" t="str">
            <v>Sptcia. Operacion Area Hum.</v>
          </cell>
          <cell r="X307" t="str">
            <v>Sx Ew y Patio de Embarque</v>
          </cell>
          <cell r="Y307" t="str">
            <v>Operativo</v>
          </cell>
          <cell r="Z307" t="str">
            <v>Indefinido</v>
          </cell>
        </row>
        <row r="308">
          <cell r="A308" t="str">
            <v>64122</v>
          </cell>
          <cell r="B308" t="str">
            <v>162589148</v>
          </cell>
          <cell r="C308" t="str">
            <v>APABLAZA CASTILLO PATRICIO JOSE</v>
          </cell>
          <cell r="D308" t="str">
            <v>Ingeniero Especialista Control Procesos</v>
          </cell>
          <cell r="E308" t="str">
            <v>Prof. 4X3 12 hrs</v>
          </cell>
          <cell r="F308" t="str">
            <v>Masculino</v>
          </cell>
          <cell r="G308" t="str">
            <v>PAPAB002@CODELCO.CL</v>
          </cell>
          <cell r="H308">
            <v>40</v>
          </cell>
          <cell r="I308">
            <v>39387</v>
          </cell>
          <cell r="J308">
            <v>43132</v>
          </cell>
          <cell r="K308" t="str">
            <v>#</v>
          </cell>
          <cell r="L308">
            <v>45778</v>
          </cell>
          <cell r="M308">
            <v>39387</v>
          </cell>
          <cell r="N308">
            <v>45778</v>
          </cell>
          <cell r="O308">
            <v>45778</v>
          </cell>
          <cell r="P308">
            <v>55114</v>
          </cell>
          <cell r="Q308">
            <v>39387</v>
          </cell>
          <cell r="R308">
            <v>19</v>
          </cell>
          <cell r="S308">
            <v>39387</v>
          </cell>
          <cell r="T308" t="str">
            <v>VARGAS SANHUEZA MANUEL</v>
          </cell>
          <cell r="U308" t="str">
            <v>MVARG013@CODELCO.CL</v>
          </cell>
          <cell r="V308" t="str">
            <v>Gerencia de Operaciones</v>
          </cell>
          <cell r="W308" t="str">
            <v>Sptcia. Ingeniería de Procesos</v>
          </cell>
          <cell r="X308" t="str">
            <v>Sptcia. Ingeniería de Procesos</v>
          </cell>
          <cell r="Y308" t="str">
            <v>Profesional</v>
          </cell>
          <cell r="Z308" t="str">
            <v>Indefinido</v>
          </cell>
        </row>
        <row r="309">
          <cell r="A309" t="str">
            <v>64123</v>
          </cell>
          <cell r="B309" t="str">
            <v>132212368</v>
          </cell>
          <cell r="C309" t="str">
            <v>IBARRA CHONG JULIO ANDRES</v>
          </cell>
          <cell r="D309" t="str">
            <v>Operador Planta AH</v>
          </cell>
          <cell r="E309" t="str">
            <v>Oper. 7X7 12 Hrs TAB G01</v>
          </cell>
          <cell r="F309" t="str">
            <v>Masculino</v>
          </cell>
          <cell r="G309" t="str">
            <v>JIBAR011@CODELCO.CL</v>
          </cell>
          <cell r="H309">
            <v>49</v>
          </cell>
          <cell r="I309">
            <v>39448</v>
          </cell>
          <cell r="J309">
            <v>44531</v>
          </cell>
          <cell r="K309" t="str">
            <v>10</v>
          </cell>
          <cell r="L309">
            <v>45413</v>
          </cell>
          <cell r="M309">
            <v>39448</v>
          </cell>
          <cell r="N309">
            <v>44531</v>
          </cell>
          <cell r="O309">
            <v>44531</v>
          </cell>
          <cell r="P309">
            <v>51827</v>
          </cell>
          <cell r="Q309">
            <v>39363</v>
          </cell>
          <cell r="R309">
            <v>18</v>
          </cell>
          <cell r="S309">
            <v>39448</v>
          </cell>
          <cell r="T309" t="str">
            <v>ROJAS ESPINOZA MELISSA DEL CARMEN</v>
          </cell>
          <cell r="U309" t="str">
            <v>MROJA134@CODELCO.CL</v>
          </cell>
          <cell r="V309" t="str">
            <v>Gerencia de Operaciones</v>
          </cell>
          <cell r="W309" t="str">
            <v>Sptcia. Operacion Area Hum.</v>
          </cell>
          <cell r="X309" t="str">
            <v>Sx Ew y Patio de Embarque</v>
          </cell>
          <cell r="Y309" t="str">
            <v>Operativo</v>
          </cell>
          <cell r="Z309" t="str">
            <v>Indefinido</v>
          </cell>
        </row>
        <row r="310">
          <cell r="A310" t="str">
            <v>64125</v>
          </cell>
          <cell r="B310" t="str">
            <v>128428712</v>
          </cell>
          <cell r="C310" t="str">
            <v>MANZANO ALFARO MARCELO HERNAN</v>
          </cell>
          <cell r="D310" t="str">
            <v>Operador Planta AH</v>
          </cell>
          <cell r="E310" t="str">
            <v>Oper. 7X7 12 Hrs TAB G01</v>
          </cell>
          <cell r="F310" t="str">
            <v>Masculino</v>
          </cell>
          <cell r="G310" t="str">
            <v>MMANZANO@CODELCO.CL</v>
          </cell>
          <cell r="H310">
            <v>51</v>
          </cell>
          <cell r="I310">
            <v>39448</v>
          </cell>
          <cell r="J310">
            <v>44531</v>
          </cell>
          <cell r="K310" t="str">
            <v>10</v>
          </cell>
          <cell r="L310">
            <v>45778</v>
          </cell>
          <cell r="M310">
            <v>39448</v>
          </cell>
          <cell r="N310">
            <v>44531</v>
          </cell>
          <cell r="O310">
            <v>44531</v>
          </cell>
          <cell r="P310">
            <v>51473</v>
          </cell>
          <cell r="Q310">
            <v>39363</v>
          </cell>
          <cell r="R310">
            <v>18</v>
          </cell>
          <cell r="S310">
            <v>39448</v>
          </cell>
          <cell r="T310" t="str">
            <v>ROJAS ESPINOZA MELISSA DEL CARMEN</v>
          </cell>
          <cell r="U310" t="str">
            <v>MROJA134@CODELCO.CL</v>
          </cell>
          <cell r="V310" t="str">
            <v>Gerencia de Operaciones</v>
          </cell>
          <cell r="W310" t="str">
            <v>Sptcia. Operacion Area Hum.</v>
          </cell>
          <cell r="X310" t="str">
            <v>Sx Ew y Patio de Embarque</v>
          </cell>
          <cell r="Y310" t="str">
            <v>Operativo</v>
          </cell>
          <cell r="Z310" t="str">
            <v>Indefinido</v>
          </cell>
        </row>
        <row r="311">
          <cell r="A311" t="str">
            <v>64130</v>
          </cell>
          <cell r="B311" t="str">
            <v>140615447</v>
          </cell>
          <cell r="C311" t="str">
            <v>CUADRA ARIAS ADRIAN ISMAEL</v>
          </cell>
          <cell r="D311" t="str">
            <v>Operador Planta AH</v>
          </cell>
          <cell r="E311" t="str">
            <v>Oper. 7X7 12 Hrs TAB G02</v>
          </cell>
          <cell r="F311" t="str">
            <v>Masculino</v>
          </cell>
          <cell r="G311" t="str">
            <v>ACUAD003@CODELCO.CL</v>
          </cell>
          <cell r="H311">
            <v>45</v>
          </cell>
          <cell r="I311">
            <v>39508</v>
          </cell>
          <cell r="J311">
            <v>35432</v>
          </cell>
          <cell r="K311" t="str">
            <v>10</v>
          </cell>
          <cell r="L311">
            <v>41852</v>
          </cell>
          <cell r="M311">
            <v>39508</v>
          </cell>
          <cell r="N311">
            <v>35432</v>
          </cell>
          <cell r="O311">
            <v>35432</v>
          </cell>
          <cell r="P311">
            <v>53573</v>
          </cell>
          <cell r="Q311">
            <v>39419</v>
          </cell>
          <cell r="R311">
            <v>18</v>
          </cell>
          <cell r="S311">
            <v>39508</v>
          </cell>
          <cell r="T311" t="str">
            <v>ROJAS ESPINOZA MELISSA DEL CARMEN</v>
          </cell>
          <cell r="U311" t="str">
            <v>MROJA134@CODELCO.CL</v>
          </cell>
          <cell r="V311" t="str">
            <v>Gerencia de Operaciones</v>
          </cell>
          <cell r="W311" t="str">
            <v>Sptcia. Operacion Area Hum.</v>
          </cell>
          <cell r="X311" t="str">
            <v>Sx Ew y Patio de Embarque</v>
          </cell>
          <cell r="Y311" t="str">
            <v>Operativo</v>
          </cell>
          <cell r="Z311" t="str">
            <v>Indefinido</v>
          </cell>
        </row>
        <row r="312">
          <cell r="A312" t="str">
            <v>64131</v>
          </cell>
          <cell r="B312" t="str">
            <v>155782609</v>
          </cell>
          <cell r="C312" t="str">
            <v>VARAS PACHAO WILSON ADOLFO</v>
          </cell>
          <cell r="D312" t="str">
            <v>Analista de Comercializacion</v>
          </cell>
          <cell r="E312" t="str">
            <v>Oper. 7X7 12 Hrs TAB A05</v>
          </cell>
          <cell r="F312" t="str">
            <v>Masculino</v>
          </cell>
          <cell r="G312" t="str">
            <v>WVARA001@CODELCO.CL</v>
          </cell>
          <cell r="H312">
            <v>43</v>
          </cell>
          <cell r="I312">
            <v>39508</v>
          </cell>
          <cell r="J312">
            <v>45748</v>
          </cell>
          <cell r="K312" t="str">
            <v>9</v>
          </cell>
          <cell r="L312">
            <v>45748</v>
          </cell>
          <cell r="M312">
            <v>39508</v>
          </cell>
          <cell r="N312">
            <v>44697</v>
          </cell>
          <cell r="O312">
            <v>44697</v>
          </cell>
          <cell r="P312">
            <v>54398</v>
          </cell>
          <cell r="Q312">
            <v>39419</v>
          </cell>
          <cell r="R312">
            <v>18</v>
          </cell>
          <cell r="S312">
            <v>39508</v>
          </cell>
          <cell r="T312" t="str">
            <v>PARRA QUIROZ VALENTINA ALEJANDRA</v>
          </cell>
          <cell r="U312" t="str">
            <v>VPARR006@CODELCO.CL</v>
          </cell>
          <cell r="V312" t="str">
            <v>Gerencia de Recursos Mineros y Desarr</v>
          </cell>
          <cell r="W312" t="str">
            <v>Superintendencia Planificacion Planta</v>
          </cell>
          <cell r="X312" t="str">
            <v>Superintendencia Planificacion Planta</v>
          </cell>
          <cell r="Y312" t="str">
            <v>Operativo</v>
          </cell>
          <cell r="Z312" t="str">
            <v>Indefinido</v>
          </cell>
        </row>
        <row r="313">
          <cell r="A313" t="str">
            <v>64135</v>
          </cell>
          <cell r="B313" t="str">
            <v>134174552</v>
          </cell>
          <cell r="C313" t="str">
            <v>ASTORGA DE LA FUENTE CECILIA ALEJANDRA</v>
          </cell>
          <cell r="D313" t="str">
            <v>Ingeniero de Procesos</v>
          </cell>
          <cell r="E313" t="str">
            <v>Prof. 4X3 12 hrs</v>
          </cell>
          <cell r="F313" t="str">
            <v>Femenino</v>
          </cell>
          <cell r="G313" t="str">
            <v>CASTO007@CODELCO.CL</v>
          </cell>
          <cell r="H313">
            <v>48</v>
          </cell>
          <cell r="I313">
            <v>39448</v>
          </cell>
          <cell r="J313">
            <v>45200</v>
          </cell>
          <cell r="K313" t="str">
            <v>8</v>
          </cell>
          <cell r="L313">
            <v>45597</v>
          </cell>
          <cell r="M313">
            <v>39448</v>
          </cell>
          <cell r="N313">
            <v>45200</v>
          </cell>
          <cell r="O313">
            <v>45200</v>
          </cell>
          <cell r="P313">
            <v>50536</v>
          </cell>
          <cell r="Q313">
            <v>39356</v>
          </cell>
          <cell r="R313">
            <v>18</v>
          </cell>
          <cell r="S313">
            <v>39448</v>
          </cell>
          <cell r="T313" t="str">
            <v>VARGAS SANHUEZA MANUEL</v>
          </cell>
          <cell r="U313" t="str">
            <v>MVARG013@CODELCO.CL</v>
          </cell>
          <cell r="V313" t="str">
            <v>Gerencia de Operaciones</v>
          </cell>
          <cell r="W313" t="str">
            <v>Sptcia. Ingeniería de Procesos</v>
          </cell>
          <cell r="X313" t="str">
            <v>Sptcia. Ingeniería de Procesos</v>
          </cell>
          <cell r="Y313" t="str">
            <v>Profesional</v>
          </cell>
          <cell r="Z313" t="str">
            <v>Indefinido</v>
          </cell>
        </row>
        <row r="314">
          <cell r="A314" t="str">
            <v>64141</v>
          </cell>
          <cell r="B314" t="str">
            <v>145731151</v>
          </cell>
          <cell r="C314" t="str">
            <v>VILCA RIVERA VIANKA SALOME</v>
          </cell>
          <cell r="D314" t="str">
            <v>Operador Planta AH</v>
          </cell>
          <cell r="E314" t="str">
            <v>Oper. 7X7 12 Hrs TAB G01</v>
          </cell>
          <cell r="F314" t="str">
            <v>Femenino</v>
          </cell>
          <cell r="G314" t="str">
            <v>VVILCA@CODELCO.CL</v>
          </cell>
          <cell r="H314">
            <v>45</v>
          </cell>
          <cell r="I314">
            <v>39448</v>
          </cell>
          <cell r="J314">
            <v>35562</v>
          </cell>
          <cell r="K314" t="str">
            <v>10</v>
          </cell>
          <cell r="L314">
            <v>45413</v>
          </cell>
          <cell r="M314">
            <v>39448</v>
          </cell>
          <cell r="N314">
            <v>35562</v>
          </cell>
          <cell r="O314">
            <v>35562</v>
          </cell>
          <cell r="P314">
            <v>51346</v>
          </cell>
          <cell r="Q314">
            <v>39448</v>
          </cell>
          <cell r="R314">
            <v>18</v>
          </cell>
          <cell r="S314">
            <v>39448</v>
          </cell>
          <cell r="T314" t="str">
            <v>ROJAS ESPINOZA MELISSA DEL CARMEN</v>
          </cell>
          <cell r="U314" t="str">
            <v>MROJA134@CODELCO.CL</v>
          </cell>
          <cell r="V314" t="str">
            <v>Gerencia de Operaciones</v>
          </cell>
          <cell r="W314" t="str">
            <v>Sptcia. Operacion Area Hum.</v>
          </cell>
          <cell r="X314" t="str">
            <v>Aglomeracion y Lixiviacion</v>
          </cell>
          <cell r="Y314" t="str">
            <v>Operativo</v>
          </cell>
          <cell r="Z314" t="str">
            <v>Indefinido</v>
          </cell>
        </row>
        <row r="315">
          <cell r="A315" t="str">
            <v>64142</v>
          </cell>
          <cell r="B315" t="str">
            <v>137435489</v>
          </cell>
          <cell r="C315" t="str">
            <v>GALLEGUILLOS TELLES MERY AMERICA</v>
          </cell>
          <cell r="D315" t="str">
            <v>Operador Chancado Primario</v>
          </cell>
          <cell r="E315" t="str">
            <v>Oper. 7X7 12 Hrs TAB G01</v>
          </cell>
          <cell r="F315" t="str">
            <v>Femenino</v>
          </cell>
          <cell r="G315" t="str">
            <v>MGALL027@CODELCO.CL</v>
          </cell>
          <cell r="H315">
            <v>46</v>
          </cell>
          <cell r="I315">
            <v>39387</v>
          </cell>
          <cell r="J315">
            <v>44896</v>
          </cell>
          <cell r="K315" t="str">
            <v>10</v>
          </cell>
          <cell r="L315">
            <v>42491</v>
          </cell>
          <cell r="M315">
            <v>39387</v>
          </cell>
          <cell r="N315">
            <v>44896</v>
          </cell>
          <cell r="O315">
            <v>44621</v>
          </cell>
          <cell r="P315">
            <v>51349</v>
          </cell>
          <cell r="Q315">
            <v>39387</v>
          </cell>
          <cell r="R315">
            <v>19</v>
          </cell>
          <cell r="S315">
            <v>39387</v>
          </cell>
          <cell r="T315" t="str">
            <v>CORTES MOYANO CAMILA</v>
          </cell>
          <cell r="U315" t="str">
            <v>CCORT068@CODELCO.CL</v>
          </cell>
          <cell r="V315" t="str">
            <v>Gerencia de Operaciones</v>
          </cell>
          <cell r="W315" t="str">
            <v>Sptcia. Operacion Area Seca</v>
          </cell>
          <cell r="X315" t="str">
            <v>Sptcia. Operacion Area Seca</v>
          </cell>
          <cell r="Y315" t="str">
            <v>Operativo</v>
          </cell>
          <cell r="Z315" t="str">
            <v>Indefinido</v>
          </cell>
        </row>
        <row r="316">
          <cell r="A316" t="str">
            <v>64149</v>
          </cell>
          <cell r="B316" t="str">
            <v>132500266</v>
          </cell>
          <cell r="C316" t="str">
            <v>PARRA ARANGUIZ ANDRES AGUSTIN JESUS</v>
          </cell>
          <cell r="D316" t="str">
            <v>Analista Suministros</v>
          </cell>
          <cell r="E316" t="str">
            <v>Prof. 4X3 12 hrs</v>
          </cell>
          <cell r="F316" t="str">
            <v>Masculino</v>
          </cell>
          <cell r="G316" t="str">
            <v>APARR004@CODELCO.CL</v>
          </cell>
          <cell r="H316">
            <v>48</v>
          </cell>
          <cell r="I316">
            <v>39295</v>
          </cell>
          <cell r="J316">
            <v>35432</v>
          </cell>
          <cell r="K316" t="str">
            <v>9</v>
          </cell>
          <cell r="L316">
            <v>41760</v>
          </cell>
          <cell r="M316">
            <v>39295</v>
          </cell>
          <cell r="N316">
            <v>35432</v>
          </cell>
          <cell r="O316">
            <v>35432</v>
          </cell>
          <cell r="P316">
            <v>51651</v>
          </cell>
          <cell r="Q316">
            <v>39203</v>
          </cell>
          <cell r="R316">
            <v>19</v>
          </cell>
          <cell r="S316">
            <v>39295</v>
          </cell>
          <cell r="T316" t="str">
            <v>ALVARADO ROMERO ADRIAN</v>
          </cell>
          <cell r="U316" t="str">
            <v>AALVA034@CODELCO.CL</v>
          </cell>
          <cell r="V316" t="str">
            <v>Gerencia de Administración</v>
          </cell>
          <cell r="W316" t="str">
            <v>Supte. Proyectos, Infra. y Suministros</v>
          </cell>
          <cell r="X316" t="str">
            <v>Supte. Proyectos, Infra. y Suministros</v>
          </cell>
          <cell r="Y316" t="str">
            <v>Operativo</v>
          </cell>
          <cell r="Z316" t="str">
            <v>Indefinido</v>
          </cell>
        </row>
        <row r="317">
          <cell r="A317" t="str">
            <v>64153</v>
          </cell>
          <cell r="B317" t="str">
            <v>134155078</v>
          </cell>
          <cell r="C317" t="str">
            <v>MARAMBIO VARGAS JOSE ROBERTO</v>
          </cell>
          <cell r="D317" t="str">
            <v>Operador Planta AH</v>
          </cell>
          <cell r="E317" t="str">
            <v>Oper. 7X7 12 Hrs TAB A05</v>
          </cell>
          <cell r="F317" t="str">
            <v>Masculino</v>
          </cell>
          <cell r="G317" t="str">
            <v>JMARA004@CODELCO.CL</v>
          </cell>
          <cell r="H317">
            <v>48</v>
          </cell>
          <cell r="I317">
            <v>39448</v>
          </cell>
          <cell r="J317">
            <v>41225</v>
          </cell>
          <cell r="K317" t="str">
            <v>10</v>
          </cell>
          <cell r="L317">
            <v>45413</v>
          </cell>
          <cell r="M317">
            <v>39448</v>
          </cell>
          <cell r="N317">
            <v>41225</v>
          </cell>
          <cell r="O317">
            <v>41225</v>
          </cell>
          <cell r="P317">
            <v>52316</v>
          </cell>
          <cell r="Q317">
            <v>39448</v>
          </cell>
          <cell r="R317">
            <v>18</v>
          </cell>
          <cell r="S317">
            <v>39448</v>
          </cell>
          <cell r="T317" t="str">
            <v>NAVARRO CARVAJAL JUAN FRANCISCO</v>
          </cell>
          <cell r="U317" t="str">
            <v>JNAVA020@CODELCO.CL</v>
          </cell>
          <cell r="V317" t="str">
            <v>Gerencia de Operaciones</v>
          </cell>
          <cell r="W317" t="str">
            <v>Sptcia. Operacion Area Hum.</v>
          </cell>
          <cell r="X317" t="str">
            <v>Aglomeracion y Lixiviacion</v>
          </cell>
          <cell r="Y317" t="str">
            <v>Operativo</v>
          </cell>
          <cell r="Z317" t="str">
            <v>Indefinido</v>
          </cell>
        </row>
        <row r="318">
          <cell r="A318" t="str">
            <v>64154</v>
          </cell>
          <cell r="B318" t="str">
            <v>125685307</v>
          </cell>
          <cell r="C318" t="str">
            <v>RAMIREZ LOYOLA GUSTAVO ENRIQUE</v>
          </cell>
          <cell r="D318" t="str">
            <v>Operador Planta AH</v>
          </cell>
          <cell r="E318" t="str">
            <v>Oper. 7X7 12 Hrs TAB G01</v>
          </cell>
          <cell r="F318" t="str">
            <v>Masculino</v>
          </cell>
          <cell r="G318" t="str">
            <v>GRAMI012@CODELCO.CL</v>
          </cell>
          <cell r="H318">
            <v>52</v>
          </cell>
          <cell r="I318">
            <v>39448</v>
          </cell>
          <cell r="J318">
            <v>41225</v>
          </cell>
          <cell r="K318" t="str">
            <v>10</v>
          </cell>
          <cell r="L318">
            <v>42186</v>
          </cell>
          <cell r="M318">
            <v>39448</v>
          </cell>
          <cell r="N318">
            <v>41225</v>
          </cell>
          <cell r="O318">
            <v>41225</v>
          </cell>
          <cell r="P318">
            <v>50876</v>
          </cell>
          <cell r="Q318">
            <v>39448</v>
          </cell>
          <cell r="R318">
            <v>18</v>
          </cell>
          <cell r="S318">
            <v>39448</v>
          </cell>
          <cell r="T318" t="str">
            <v>ROJAS ESPINOZA MELISSA DEL CARMEN</v>
          </cell>
          <cell r="U318" t="str">
            <v>MROJA134@CODELCO.CL</v>
          </cell>
          <cell r="V318" t="str">
            <v>Gerencia de Operaciones</v>
          </cell>
          <cell r="W318" t="str">
            <v>Sptcia. Operacion Area Hum.</v>
          </cell>
          <cell r="X318" t="str">
            <v>Sx Ew y Patio de Embarque</v>
          </cell>
          <cell r="Y318" t="str">
            <v>Operativo</v>
          </cell>
          <cell r="Z318" t="str">
            <v>Indefinido</v>
          </cell>
        </row>
        <row r="319">
          <cell r="A319" t="str">
            <v>64155</v>
          </cell>
          <cell r="B319" t="str">
            <v>124432456</v>
          </cell>
          <cell r="C319" t="str">
            <v>HERRERA TAPIA JOHNNY FRANCISCO</v>
          </cell>
          <cell r="D319" t="str">
            <v>Operador Planta AS</v>
          </cell>
          <cell r="E319" t="str">
            <v>Oper. 7X7 12 Hrs TAB G01</v>
          </cell>
          <cell r="F319" t="str">
            <v>Masculino</v>
          </cell>
          <cell r="G319" t="str">
            <v>JHERR030@CODELCO.CL</v>
          </cell>
          <cell r="H319">
            <v>53</v>
          </cell>
          <cell r="I319">
            <v>39387</v>
          </cell>
          <cell r="J319">
            <v>35432</v>
          </cell>
          <cell r="K319" t="str">
            <v>10</v>
          </cell>
          <cell r="L319">
            <v>44682</v>
          </cell>
          <cell r="M319">
            <v>39387</v>
          </cell>
          <cell r="N319">
            <v>35432</v>
          </cell>
          <cell r="O319">
            <v>35432</v>
          </cell>
          <cell r="P319">
            <v>50628</v>
          </cell>
          <cell r="Q319">
            <v>39387</v>
          </cell>
          <cell r="R319">
            <v>19</v>
          </cell>
          <cell r="S319">
            <v>39387</v>
          </cell>
          <cell r="T319" t="str">
            <v>AGUILERA PÉREZ JOSÉ ALFREDO</v>
          </cell>
          <cell r="U319" t="str">
            <v>JAGUI067@CODELCO.CL</v>
          </cell>
          <cell r="V319" t="str">
            <v>Gerencia de Operaciones</v>
          </cell>
          <cell r="W319" t="str">
            <v>Sptcia. Operacion Area Seca</v>
          </cell>
          <cell r="X319" t="str">
            <v>Sptcia. Operacion Area Seca</v>
          </cell>
          <cell r="Y319" t="str">
            <v>Operativo</v>
          </cell>
          <cell r="Z319" t="str">
            <v>Indefinido</v>
          </cell>
        </row>
        <row r="320">
          <cell r="A320" t="str">
            <v>64156</v>
          </cell>
          <cell r="B320" t="str">
            <v>132170975</v>
          </cell>
          <cell r="C320" t="str">
            <v>VEGA PLAZA ELVIS LUIS</v>
          </cell>
          <cell r="D320" t="str">
            <v>Operador Planta AS</v>
          </cell>
          <cell r="E320" t="str">
            <v>Oper. 7X7 12 Hrs TAB G01</v>
          </cell>
          <cell r="F320" t="str">
            <v>Masculino</v>
          </cell>
          <cell r="G320" t="str">
            <v>EVEGA011@CODELCO.CL</v>
          </cell>
          <cell r="H320">
            <v>50</v>
          </cell>
          <cell r="I320">
            <v>39479</v>
          </cell>
          <cell r="J320">
            <v>44287</v>
          </cell>
          <cell r="K320" t="str">
            <v>10</v>
          </cell>
          <cell r="L320">
            <v>41852</v>
          </cell>
          <cell r="M320">
            <v>39479</v>
          </cell>
          <cell r="N320">
            <v>42064</v>
          </cell>
          <cell r="O320">
            <v>42064</v>
          </cell>
          <cell r="P320">
            <v>49483</v>
          </cell>
          <cell r="Q320">
            <v>39387</v>
          </cell>
          <cell r="R320">
            <v>18</v>
          </cell>
          <cell r="S320">
            <v>39479</v>
          </cell>
          <cell r="T320" t="str">
            <v>CORTES MOYANO CAMILA</v>
          </cell>
          <cell r="U320" t="str">
            <v>CCORT068@CODELCO.CL</v>
          </cell>
          <cell r="V320" t="str">
            <v>Gerencia de Operaciones</v>
          </cell>
          <cell r="W320" t="str">
            <v>Sptcia. Operacion Area Seca</v>
          </cell>
          <cell r="X320" t="str">
            <v>Sptcia. Operacion Area Seca</v>
          </cell>
          <cell r="Y320" t="str">
            <v>Operativo</v>
          </cell>
          <cell r="Z320" t="str">
            <v>Indefinido</v>
          </cell>
        </row>
        <row r="321">
          <cell r="A321" t="str">
            <v>64157</v>
          </cell>
          <cell r="B321" t="str">
            <v>119305586</v>
          </cell>
          <cell r="C321" t="str">
            <v>FREDES FREDES EDUARDO LUIS</v>
          </cell>
          <cell r="D321" t="str">
            <v>Operador Planta AH</v>
          </cell>
          <cell r="E321" t="str">
            <v>Oper. 7X7 12 Hrs TAB G03</v>
          </cell>
          <cell r="F321" t="str">
            <v>Masculino</v>
          </cell>
          <cell r="G321" t="str">
            <v>EFRED001@CODELCO.CL</v>
          </cell>
          <cell r="H321">
            <v>54</v>
          </cell>
          <cell r="I321">
            <v>39448</v>
          </cell>
          <cell r="J321">
            <v>41225</v>
          </cell>
          <cell r="K321" t="str">
            <v>10</v>
          </cell>
          <cell r="L321">
            <v>45413</v>
          </cell>
          <cell r="M321">
            <v>39448</v>
          </cell>
          <cell r="N321">
            <v>41225</v>
          </cell>
          <cell r="O321">
            <v>41225</v>
          </cell>
          <cell r="P321">
            <v>49904</v>
          </cell>
          <cell r="Q321">
            <v>39448</v>
          </cell>
          <cell r="R321">
            <v>18</v>
          </cell>
          <cell r="S321">
            <v>39448</v>
          </cell>
          <cell r="T321" t="str">
            <v>RETAMAL ORTIZ JORGE</v>
          </cell>
          <cell r="U321" t="str">
            <v>JRETA003@CODELCO.CL</v>
          </cell>
          <cell r="V321" t="str">
            <v>Gerencia de Operaciones</v>
          </cell>
          <cell r="W321" t="str">
            <v>Sptcia. Operacion Area Hum.</v>
          </cell>
          <cell r="X321" t="str">
            <v>Sx Ew y Patio de Embarque</v>
          </cell>
          <cell r="Y321" t="str">
            <v>Operativo</v>
          </cell>
          <cell r="Z321" t="str">
            <v>Indefinido</v>
          </cell>
        </row>
        <row r="322">
          <cell r="A322" t="str">
            <v>64158</v>
          </cell>
          <cell r="B322" t="str">
            <v>118460561</v>
          </cell>
          <cell r="C322" t="str">
            <v>PALMA LILLO CRISTIAN LENIN</v>
          </cell>
          <cell r="D322" t="str">
            <v>Operador Planta AS</v>
          </cell>
          <cell r="E322" t="str">
            <v>Oper. 7X7 12 Hrs TAB G02</v>
          </cell>
          <cell r="F322" t="str">
            <v>Masculino</v>
          </cell>
          <cell r="G322" t="str">
            <v>CPALM004@CODELCO.CL</v>
          </cell>
          <cell r="H322">
            <v>54</v>
          </cell>
          <cell r="I322">
            <v>39387</v>
          </cell>
          <cell r="J322">
            <v>35432</v>
          </cell>
          <cell r="K322" t="str">
            <v>10</v>
          </cell>
          <cell r="L322">
            <v>41852</v>
          </cell>
          <cell r="M322">
            <v>39387</v>
          </cell>
          <cell r="N322">
            <v>35432</v>
          </cell>
          <cell r="O322">
            <v>35432</v>
          </cell>
          <cell r="P322">
            <v>49910</v>
          </cell>
          <cell r="Q322">
            <v>39387</v>
          </cell>
          <cell r="R322">
            <v>19</v>
          </cell>
          <cell r="S322">
            <v>39387</v>
          </cell>
          <cell r="T322" t="str">
            <v>ARAYA JAIME VALESKA</v>
          </cell>
          <cell r="U322" t="str">
            <v>VARAY013@CODELCO.CL</v>
          </cell>
          <cell r="V322" t="str">
            <v>Gerencia de Operaciones</v>
          </cell>
          <cell r="W322" t="str">
            <v>Sptcia. Operacion Area Seca</v>
          </cell>
          <cell r="X322" t="str">
            <v>Sptcia. Operacion Area Seca</v>
          </cell>
          <cell r="Y322" t="str">
            <v>Operativo</v>
          </cell>
          <cell r="Z322" t="str">
            <v>Indefinido</v>
          </cell>
        </row>
        <row r="323">
          <cell r="A323" t="str">
            <v>64159</v>
          </cell>
          <cell r="B323" t="str">
            <v>141558986</v>
          </cell>
          <cell r="C323" t="str">
            <v>PICHIHUENCHO LIEN PABLO RODOLFO</v>
          </cell>
          <cell r="D323" t="str">
            <v>Operador Planta AH</v>
          </cell>
          <cell r="E323" t="str">
            <v>Oper. 7X7 12 Hrs TAB G02</v>
          </cell>
          <cell r="F323" t="str">
            <v>Masculino</v>
          </cell>
          <cell r="G323" t="str">
            <v>PPICHIHU@CODELCO.CL</v>
          </cell>
          <cell r="H323">
            <v>47</v>
          </cell>
          <cell r="I323">
            <v>39448</v>
          </cell>
          <cell r="J323">
            <v>35432</v>
          </cell>
          <cell r="K323" t="str">
            <v>10</v>
          </cell>
          <cell r="L323">
            <v>42856</v>
          </cell>
          <cell r="M323">
            <v>39448</v>
          </cell>
          <cell r="N323">
            <v>35432</v>
          </cell>
          <cell r="O323">
            <v>35432</v>
          </cell>
          <cell r="P323">
            <v>52873</v>
          </cell>
          <cell r="Q323">
            <v>39448</v>
          </cell>
          <cell r="R323">
            <v>18</v>
          </cell>
          <cell r="S323">
            <v>39448</v>
          </cell>
          <cell r="T323" t="str">
            <v>CORREA MENDOZA CAMILA</v>
          </cell>
          <cell r="U323" t="str">
            <v>CCORR014@CODELCO.CL</v>
          </cell>
          <cell r="V323" t="str">
            <v>Gerencia de Operaciones</v>
          </cell>
          <cell r="W323" t="str">
            <v>Sptcia. Operacion Area Hum.</v>
          </cell>
          <cell r="X323" t="str">
            <v>Sx Ew y Patio de Embarque</v>
          </cell>
          <cell r="Y323" t="str">
            <v>Operativo</v>
          </cell>
          <cell r="Z323" t="str">
            <v>Indefinido</v>
          </cell>
        </row>
        <row r="324">
          <cell r="A324" t="str">
            <v>64160</v>
          </cell>
          <cell r="B324" t="str">
            <v>142357712</v>
          </cell>
          <cell r="C324" t="str">
            <v>SUAREZ SEPULVEDA LEONARDO ANTONIO</v>
          </cell>
          <cell r="D324" t="str">
            <v>Operador Muestro y Sondaje</v>
          </cell>
          <cell r="E324" t="str">
            <v>Oper. 7X7 12 Hrs TAB A05</v>
          </cell>
          <cell r="F324" t="str">
            <v>Masculino</v>
          </cell>
          <cell r="G324" t="str">
            <v>LSUAR001@CODELCO.CL</v>
          </cell>
          <cell r="H324">
            <v>56</v>
          </cell>
          <cell r="I324">
            <v>39479</v>
          </cell>
          <cell r="J324">
            <v>41225</v>
          </cell>
          <cell r="K324" t="str">
            <v>11</v>
          </cell>
          <cell r="L324">
            <v>45413</v>
          </cell>
          <cell r="M324">
            <v>39479</v>
          </cell>
          <cell r="N324">
            <v>41225</v>
          </cell>
          <cell r="O324">
            <v>41225</v>
          </cell>
          <cell r="P324">
            <v>49592</v>
          </cell>
          <cell r="Q324">
            <v>39398</v>
          </cell>
          <cell r="R324">
            <v>18</v>
          </cell>
          <cell r="S324">
            <v>39479</v>
          </cell>
          <cell r="T324" t="str">
            <v>NICOLAS VARGAS CLAUDIO ESTEBAN</v>
          </cell>
          <cell r="U324" t="str">
            <v>CNICOLAS@CODELCO.CL</v>
          </cell>
          <cell r="V324" t="str">
            <v>Gerencia de Recursos Mineros y Desarr</v>
          </cell>
          <cell r="W324" t="str">
            <v>Superintendencia Geologia</v>
          </cell>
          <cell r="X324" t="str">
            <v>Superintendencia Geologia</v>
          </cell>
          <cell r="Y324" t="str">
            <v>Operativo</v>
          </cell>
          <cell r="Z324" t="str">
            <v>Indefinido</v>
          </cell>
        </row>
        <row r="325">
          <cell r="A325" t="str">
            <v>64161</v>
          </cell>
          <cell r="B325" t="str">
            <v>128021205</v>
          </cell>
          <cell r="C325" t="str">
            <v>VEAS HERRERA VICTOR EDUARDO</v>
          </cell>
          <cell r="D325" t="str">
            <v>Operador Planta AH</v>
          </cell>
          <cell r="E325" t="str">
            <v>Oper. 7X7 12 Hrs TAB G04</v>
          </cell>
          <cell r="F325" t="str">
            <v>Masculino</v>
          </cell>
          <cell r="G325" t="str">
            <v>VVEAS002@CODELCO.CL</v>
          </cell>
          <cell r="H325">
            <v>50</v>
          </cell>
          <cell r="I325">
            <v>39448</v>
          </cell>
          <cell r="J325">
            <v>41225</v>
          </cell>
          <cell r="K325" t="str">
            <v>10</v>
          </cell>
          <cell r="L325">
            <v>42491</v>
          </cell>
          <cell r="M325">
            <v>39448</v>
          </cell>
          <cell r="N325">
            <v>41225</v>
          </cell>
          <cell r="O325">
            <v>41225</v>
          </cell>
          <cell r="P325">
            <v>51468</v>
          </cell>
          <cell r="Q325">
            <v>39448</v>
          </cell>
          <cell r="R325">
            <v>18</v>
          </cell>
          <cell r="S325">
            <v>39448</v>
          </cell>
          <cell r="T325" t="str">
            <v>CORREA MENDOZA CAMILA</v>
          </cell>
          <cell r="U325" t="str">
            <v>CCORR014@CODELCO.CL</v>
          </cell>
          <cell r="V325" t="str">
            <v>Gerencia de Operaciones</v>
          </cell>
          <cell r="W325" t="str">
            <v>Sptcia. Operacion Area Hum.</v>
          </cell>
          <cell r="X325" t="str">
            <v>Sx Ew y Patio de Embarque</v>
          </cell>
          <cell r="Y325" t="str">
            <v>Operativo</v>
          </cell>
          <cell r="Z325" t="str">
            <v>Indefinido</v>
          </cell>
        </row>
        <row r="326">
          <cell r="A326" t="str">
            <v>64162</v>
          </cell>
          <cell r="B326" t="str">
            <v>132276676</v>
          </cell>
          <cell r="C326" t="str">
            <v>ALARCON QUEZADA MAURICIO ANDRES</v>
          </cell>
          <cell r="D326" t="str">
            <v>Especialista Operativo AH</v>
          </cell>
          <cell r="E326" t="str">
            <v>Oper. 7X7 12 Hrs TAB G04</v>
          </cell>
          <cell r="F326" t="str">
            <v>Masculino</v>
          </cell>
          <cell r="G326" t="str">
            <v>MALAR009@CODELCO.CL</v>
          </cell>
          <cell r="H326">
            <v>49</v>
          </cell>
          <cell r="I326">
            <v>44958</v>
          </cell>
          <cell r="J326">
            <v>44958</v>
          </cell>
          <cell r="K326" t="str">
            <v>9</v>
          </cell>
          <cell r="L326">
            <v>44958</v>
          </cell>
          <cell r="M326">
            <v>44958</v>
          </cell>
          <cell r="N326">
            <v>44958</v>
          </cell>
          <cell r="O326">
            <v>41183</v>
          </cell>
          <cell r="P326">
            <v>52205</v>
          </cell>
          <cell r="Q326">
            <v>39448</v>
          </cell>
          <cell r="R326">
            <v>3</v>
          </cell>
          <cell r="S326">
            <v>39448</v>
          </cell>
          <cell r="T326" t="str">
            <v>CORREA MENDOZA CAMILA</v>
          </cell>
          <cell r="U326" t="str">
            <v>CCORR014@CODELCO.CL</v>
          </cell>
          <cell r="V326" t="str">
            <v>Gerencia de Operaciones</v>
          </cell>
          <cell r="W326" t="str">
            <v>Sptcia. Operacion Area Hum.</v>
          </cell>
          <cell r="X326" t="str">
            <v>Sptcia. Operacion Area Hum.</v>
          </cell>
          <cell r="Y326" t="str">
            <v>Operativo</v>
          </cell>
          <cell r="Z326" t="str">
            <v>Indefinido</v>
          </cell>
        </row>
        <row r="327">
          <cell r="A327" t="str">
            <v>64166</v>
          </cell>
          <cell r="B327" t="str">
            <v>129396458</v>
          </cell>
          <cell r="C327" t="str">
            <v>ARAYA JAIME VALESKA</v>
          </cell>
          <cell r="D327" t="str">
            <v>Ing. Turno Op. Chancado y Apilamiento</v>
          </cell>
          <cell r="E327" t="str">
            <v>Prof. 4X3 12 hrs</v>
          </cell>
          <cell r="F327" t="str">
            <v>Femenino</v>
          </cell>
          <cell r="G327" t="str">
            <v>VARAY013@CODELCO.CL</v>
          </cell>
          <cell r="H327">
            <v>50</v>
          </cell>
          <cell r="I327">
            <v>46013</v>
          </cell>
          <cell r="J327">
            <v>46013</v>
          </cell>
          <cell r="K327" t="str">
            <v>8</v>
          </cell>
          <cell r="L327">
            <v>46013</v>
          </cell>
          <cell r="M327">
            <v>46013</v>
          </cell>
          <cell r="N327">
            <v>46013</v>
          </cell>
          <cell r="O327">
            <v>46013</v>
          </cell>
          <cell r="P327">
            <v>49699</v>
          </cell>
          <cell r="Q327">
            <v>46013</v>
          </cell>
          <cell r="R327">
            <v>0</v>
          </cell>
          <cell r="S327">
            <v>46013</v>
          </cell>
          <cell r="T327" t="str">
            <v>POBLETE ESPINOZA FRANCISCO JAVIER</v>
          </cell>
          <cell r="U327" t="str">
            <v>FPOBL005@CODELCO.CL</v>
          </cell>
          <cell r="V327" t="str">
            <v>Gerencia de Operaciones</v>
          </cell>
          <cell r="W327" t="str">
            <v>Sptcia. Operacion Area Seca</v>
          </cell>
          <cell r="X327" t="str">
            <v>Sptcia. Operacion Area Seca</v>
          </cell>
          <cell r="Y327" t="str">
            <v>Profesional</v>
          </cell>
          <cell r="Z327" t="str">
            <v>Indefinido</v>
          </cell>
        </row>
        <row r="328">
          <cell r="A328" t="str">
            <v>64169</v>
          </cell>
          <cell r="B328" t="str">
            <v>132168822</v>
          </cell>
          <cell r="C328" t="str">
            <v>ZULETA AHUMADA CARMEN MARCELA</v>
          </cell>
          <cell r="D328" t="str">
            <v>Operador Mina</v>
          </cell>
          <cell r="E328" t="str">
            <v>Oper. 7X7 12 Hrs TAB G04</v>
          </cell>
          <cell r="F328" t="str">
            <v>Femenino</v>
          </cell>
          <cell r="G328" t="str">
            <v>CZULE003@CODELCO.CL</v>
          </cell>
          <cell r="H328">
            <v>48</v>
          </cell>
          <cell r="I328">
            <v>39448</v>
          </cell>
          <cell r="J328">
            <v>39569</v>
          </cell>
          <cell r="K328" t="str">
            <v>10</v>
          </cell>
          <cell r="L328">
            <v>44682</v>
          </cell>
          <cell r="M328">
            <v>39448</v>
          </cell>
          <cell r="N328">
            <v>36008</v>
          </cell>
          <cell r="O328">
            <v>35613</v>
          </cell>
          <cell r="P328">
            <v>50180</v>
          </cell>
          <cell r="Q328">
            <v>39448</v>
          </cell>
          <cell r="R328">
            <v>18</v>
          </cell>
          <cell r="S328">
            <v>39448</v>
          </cell>
          <cell r="T328" t="str">
            <v>Sin asignar</v>
          </cell>
          <cell r="U328" t="str">
            <v>Sin asignar</v>
          </cell>
          <cell r="V328" t="str">
            <v>Gerencia de Operaciones</v>
          </cell>
          <cell r="W328" t="str">
            <v>Sptcia. Operacion Mina</v>
          </cell>
          <cell r="X328" t="str">
            <v>Sptcia. Operacion Mina</v>
          </cell>
          <cell r="Y328" t="str">
            <v>Operativo</v>
          </cell>
          <cell r="Z328" t="str">
            <v>Indefinido</v>
          </cell>
        </row>
        <row r="329">
          <cell r="A329" t="str">
            <v>64172</v>
          </cell>
          <cell r="B329" t="str">
            <v>136331132</v>
          </cell>
          <cell r="C329" t="str">
            <v>MONTECINOS TAPIA KATHERINE DASNETH</v>
          </cell>
          <cell r="D329" t="str">
            <v>Operador Planta AS</v>
          </cell>
          <cell r="E329" t="str">
            <v>Oper. 7X7 12 Hrs TAB G03</v>
          </cell>
          <cell r="F329" t="str">
            <v>Femenino</v>
          </cell>
          <cell r="G329" t="str">
            <v>KMONTECI@CODELCO.CL</v>
          </cell>
          <cell r="H329">
            <v>47</v>
          </cell>
          <cell r="I329">
            <v>39508</v>
          </cell>
          <cell r="J329">
            <v>35432</v>
          </cell>
          <cell r="K329" t="str">
            <v>10</v>
          </cell>
          <cell r="L329">
            <v>45261</v>
          </cell>
          <cell r="M329">
            <v>39508</v>
          </cell>
          <cell r="N329">
            <v>35432</v>
          </cell>
          <cell r="O329">
            <v>35432</v>
          </cell>
          <cell r="P329">
            <v>50698</v>
          </cell>
          <cell r="Q329">
            <v>39420</v>
          </cell>
          <cell r="R329">
            <v>18</v>
          </cell>
          <cell r="S329">
            <v>39508</v>
          </cell>
          <cell r="T329" t="str">
            <v>VASQUEZ LOPEZ ARTURO RICARDO</v>
          </cell>
          <cell r="U329" t="str">
            <v>AVASQ018@CODELCO.CL</v>
          </cell>
          <cell r="V329" t="str">
            <v>Gerencia de Operaciones</v>
          </cell>
          <cell r="W329" t="str">
            <v>Sptcia. Operacion Area Seca</v>
          </cell>
          <cell r="X329" t="str">
            <v>Sptcia. Operacion Area Seca</v>
          </cell>
          <cell r="Y329" t="str">
            <v>Operativo</v>
          </cell>
          <cell r="Z329" t="str">
            <v>Indefinido</v>
          </cell>
        </row>
        <row r="330">
          <cell r="A330" t="str">
            <v>64173</v>
          </cell>
          <cell r="B330" t="str">
            <v>136423509</v>
          </cell>
          <cell r="C330" t="str">
            <v>TAPIA LOO MOISES ELIAS</v>
          </cell>
          <cell r="D330" t="str">
            <v>Operador Muestro y Sondaje</v>
          </cell>
          <cell r="E330" t="str">
            <v>Oper. 7X7 12 Hrs TAB A06</v>
          </cell>
          <cell r="F330" t="str">
            <v>Masculino</v>
          </cell>
          <cell r="G330" t="str">
            <v>MTAPI037@CODELCO.CL</v>
          </cell>
          <cell r="H330">
            <v>46</v>
          </cell>
          <cell r="I330">
            <v>39479</v>
          </cell>
          <cell r="J330">
            <v>41760</v>
          </cell>
          <cell r="K330" t="str">
            <v>11</v>
          </cell>
          <cell r="L330">
            <v>43586</v>
          </cell>
          <cell r="M330">
            <v>39479</v>
          </cell>
          <cell r="N330">
            <v>41518</v>
          </cell>
          <cell r="O330">
            <v>41518</v>
          </cell>
          <cell r="P330">
            <v>52706</v>
          </cell>
          <cell r="Q330">
            <v>39398</v>
          </cell>
          <cell r="R330">
            <v>18</v>
          </cell>
          <cell r="S330">
            <v>39479</v>
          </cell>
          <cell r="T330" t="str">
            <v>NICOLAS VARGAS CLAUDIO ESTEBAN</v>
          </cell>
          <cell r="U330" t="str">
            <v>CNICOLAS@CODELCO.CL</v>
          </cell>
          <cell r="V330" t="str">
            <v>Gerencia de Recursos Mineros y Desarr</v>
          </cell>
          <cell r="W330" t="str">
            <v>Superintendencia Geologia</v>
          </cell>
          <cell r="X330" t="str">
            <v>Superintendencia Geologia</v>
          </cell>
          <cell r="Y330" t="str">
            <v>Operativo</v>
          </cell>
          <cell r="Z330" t="str">
            <v>Indefinido</v>
          </cell>
        </row>
        <row r="331">
          <cell r="A331" t="str">
            <v>64175</v>
          </cell>
          <cell r="B331" t="str">
            <v>116154323</v>
          </cell>
          <cell r="C331" t="str">
            <v>FERREIRA CARVAJAL RICHARD JESUS</v>
          </cell>
          <cell r="D331" t="str">
            <v>Operador Alarife</v>
          </cell>
          <cell r="E331" t="str">
            <v>Oper. 7X7 12 Hrs TAB A05</v>
          </cell>
          <cell r="F331" t="str">
            <v>Masculino</v>
          </cell>
          <cell r="G331" t="str">
            <v>RFERR005@CODELCO.CL</v>
          </cell>
          <cell r="H331">
            <v>55</v>
          </cell>
          <cell r="I331">
            <v>39479</v>
          </cell>
          <cell r="J331">
            <v>44531</v>
          </cell>
          <cell r="K331" t="str">
            <v>11</v>
          </cell>
          <cell r="L331">
            <v>42186</v>
          </cell>
          <cell r="M331">
            <v>39479</v>
          </cell>
          <cell r="N331">
            <v>44531</v>
          </cell>
          <cell r="O331">
            <v>44531</v>
          </cell>
          <cell r="P331">
            <v>49483</v>
          </cell>
          <cell r="Q331">
            <v>39387</v>
          </cell>
          <cell r="R331">
            <v>18</v>
          </cell>
          <cell r="S331">
            <v>39479</v>
          </cell>
          <cell r="T331" t="str">
            <v>Sin asignar</v>
          </cell>
          <cell r="U331" t="str">
            <v>Sin asignar</v>
          </cell>
          <cell r="V331" t="str">
            <v>Gerencia de Recursos Mineros y Desarr</v>
          </cell>
          <cell r="W331" t="str">
            <v>Superintendencia Planificacion Minera</v>
          </cell>
          <cell r="X331" t="str">
            <v>Planificacion Mina Corto Plazo</v>
          </cell>
          <cell r="Y331" t="str">
            <v>Operativo</v>
          </cell>
          <cell r="Z331" t="str">
            <v>Indefinido</v>
          </cell>
        </row>
        <row r="332">
          <cell r="A332" t="str">
            <v>64176</v>
          </cell>
          <cell r="B332" t="str">
            <v>143245594</v>
          </cell>
          <cell r="C332" t="str">
            <v>BARRIOS ORMEÑO JULIO ENRIQUE</v>
          </cell>
          <cell r="D332" t="str">
            <v>Operador Mina</v>
          </cell>
          <cell r="E332" t="str">
            <v>Oper. 7X7 12 Hrs TAB G03</v>
          </cell>
          <cell r="F332" t="str">
            <v>Masculino</v>
          </cell>
          <cell r="G332" t="str">
            <v>JBARR045@CODELCO.CL</v>
          </cell>
          <cell r="H332">
            <v>49</v>
          </cell>
          <cell r="I332">
            <v>39448</v>
          </cell>
          <cell r="J332">
            <v>41760</v>
          </cell>
          <cell r="K332" t="str">
            <v>10</v>
          </cell>
          <cell r="L332">
            <v>45778</v>
          </cell>
          <cell r="M332">
            <v>39448</v>
          </cell>
          <cell r="N332">
            <v>41518</v>
          </cell>
          <cell r="O332">
            <v>41518</v>
          </cell>
          <cell r="P332">
            <v>52054</v>
          </cell>
          <cell r="Q332">
            <v>39448</v>
          </cell>
          <cell r="R332">
            <v>18</v>
          </cell>
          <cell r="S332">
            <v>39448</v>
          </cell>
          <cell r="T332" t="str">
            <v>ZUMELZU BRAVO MARYLIN</v>
          </cell>
          <cell r="U332" t="str">
            <v>MZUME001@CODELCO.CL</v>
          </cell>
          <cell r="V332" t="str">
            <v>Gerencia de Operaciones</v>
          </cell>
          <cell r="W332" t="str">
            <v>Sptcia. Operacion Mina</v>
          </cell>
          <cell r="X332" t="str">
            <v>Sptcia. Operacion Mina</v>
          </cell>
          <cell r="Y332" t="str">
            <v>Operativo</v>
          </cell>
          <cell r="Z332" t="str">
            <v>Indefinido</v>
          </cell>
        </row>
        <row r="333">
          <cell r="A333" t="str">
            <v>64185</v>
          </cell>
          <cell r="B333" t="str">
            <v>010994338K</v>
          </cell>
          <cell r="C333" t="str">
            <v>GOMEZ LOBOS RODRIGO ANTONIO</v>
          </cell>
          <cell r="D333" t="str">
            <v>Jefe de Proteccion Industrial</v>
          </cell>
          <cell r="E333" t="str">
            <v>Prof. 4X3 12 hrs</v>
          </cell>
          <cell r="F333" t="str">
            <v>Masculino</v>
          </cell>
          <cell r="G333" t="str">
            <v>RGOME025@CODELCO.CL</v>
          </cell>
          <cell r="H333">
            <v>48</v>
          </cell>
          <cell r="I333">
            <v>39600</v>
          </cell>
          <cell r="J333">
            <v>44837</v>
          </cell>
          <cell r="K333" t="str">
            <v>8</v>
          </cell>
          <cell r="L333">
            <v>45597</v>
          </cell>
          <cell r="M333">
            <v>39600</v>
          </cell>
          <cell r="N333">
            <v>40787</v>
          </cell>
          <cell r="O333">
            <v>40787</v>
          </cell>
          <cell r="P333">
            <v>55944</v>
          </cell>
          <cell r="Q333">
            <v>39517</v>
          </cell>
          <cell r="R333">
            <v>18</v>
          </cell>
          <cell r="S333">
            <v>39600</v>
          </cell>
          <cell r="T333" t="str">
            <v>NEUT VILLANUEVA FRANCISCA GABRIELA</v>
          </cell>
          <cell r="U333" t="str">
            <v>FNEUT001@CODELCO.CL</v>
          </cell>
          <cell r="V333" t="str">
            <v>Gerencia de Seguridad y Salud Ocup.</v>
          </cell>
          <cell r="W333" t="str">
            <v>Proteccion Industrial</v>
          </cell>
          <cell r="X333" t="str">
            <v>Proteccion Industrial</v>
          </cell>
          <cell r="Y333" t="str">
            <v>Profesional</v>
          </cell>
          <cell r="Z333" t="str">
            <v>Indefinido</v>
          </cell>
        </row>
        <row r="334">
          <cell r="A334" t="str">
            <v>64186</v>
          </cell>
          <cell r="B334" t="str">
            <v>130692370</v>
          </cell>
          <cell r="C334" t="str">
            <v>SILVA LARRAIN CESAR</v>
          </cell>
          <cell r="D334" t="str">
            <v>Ing. Esp. Mtto. Área Húmeda</v>
          </cell>
          <cell r="E334" t="str">
            <v>Prof. 4X3 12 hrs</v>
          </cell>
          <cell r="F334" t="str">
            <v>Masculino</v>
          </cell>
          <cell r="G334" t="str">
            <v>CSILV021@CODELCO.CL</v>
          </cell>
          <cell r="H334">
            <v>49</v>
          </cell>
          <cell r="I334">
            <v>39630</v>
          </cell>
          <cell r="J334">
            <v>45173</v>
          </cell>
          <cell r="K334" t="str">
            <v>6</v>
          </cell>
          <cell r="L334">
            <v>41091</v>
          </cell>
          <cell r="M334">
            <v>39630</v>
          </cell>
          <cell r="N334">
            <v>45173</v>
          </cell>
          <cell r="O334">
            <v>45173</v>
          </cell>
          <cell r="P334">
            <v>51855</v>
          </cell>
          <cell r="Q334">
            <v>39517</v>
          </cell>
          <cell r="R334">
            <v>18</v>
          </cell>
          <cell r="S334">
            <v>39630</v>
          </cell>
          <cell r="T334" t="str">
            <v>MEZA MENESES VICTOR GONZALO</v>
          </cell>
          <cell r="U334" t="str">
            <v>VMEZA003@CODELCO.CL</v>
          </cell>
          <cell r="V334" t="str">
            <v>Gerencia de Mantenimiento</v>
          </cell>
          <cell r="W334" t="str">
            <v>Sptcia. Mtto. Area Humeda</v>
          </cell>
          <cell r="X334" t="str">
            <v>Sptcia. Mtto. Area Humeda</v>
          </cell>
          <cell r="Y334" t="str">
            <v>Profesional</v>
          </cell>
          <cell r="Z334" t="str">
            <v>Indefinido</v>
          </cell>
        </row>
        <row r="335">
          <cell r="A335" t="str">
            <v>64188</v>
          </cell>
          <cell r="B335" t="str">
            <v>134167637</v>
          </cell>
          <cell r="C335" t="str">
            <v>RIVERAS ROBLES WILLIANS FERNANDO</v>
          </cell>
          <cell r="D335" t="str">
            <v>Operador Planta AH</v>
          </cell>
          <cell r="E335" t="str">
            <v>Oper. 7X7 12 Hrs TAB G04</v>
          </cell>
          <cell r="F335" t="str">
            <v>Masculino</v>
          </cell>
          <cell r="G335" t="str">
            <v>WRIVERAS@CODELCO.CL</v>
          </cell>
          <cell r="H335">
            <v>48</v>
          </cell>
          <cell r="I335">
            <v>39630</v>
          </cell>
          <cell r="J335">
            <v>41225</v>
          </cell>
          <cell r="K335" t="str">
            <v>10</v>
          </cell>
          <cell r="L335">
            <v>45778</v>
          </cell>
          <cell r="M335">
            <v>39630</v>
          </cell>
          <cell r="N335">
            <v>41225</v>
          </cell>
          <cell r="O335">
            <v>41225</v>
          </cell>
          <cell r="P335">
            <v>52235</v>
          </cell>
          <cell r="Q335">
            <v>39545</v>
          </cell>
          <cell r="R335">
            <v>18</v>
          </cell>
          <cell r="S335">
            <v>39630</v>
          </cell>
          <cell r="T335" t="str">
            <v>CORREA MENDOZA CAMILA</v>
          </cell>
          <cell r="U335" t="str">
            <v>CCORR014@CODELCO.CL</v>
          </cell>
          <cell r="V335" t="str">
            <v>Gerencia de Operaciones</v>
          </cell>
          <cell r="W335" t="str">
            <v>Sptcia. Operacion Area Hum.</v>
          </cell>
          <cell r="X335" t="str">
            <v>Sx Ew y Patio de Embarque</v>
          </cell>
          <cell r="Y335" t="str">
            <v>Operativo</v>
          </cell>
          <cell r="Z335" t="str">
            <v>Indefinido</v>
          </cell>
        </row>
        <row r="336">
          <cell r="A336" t="str">
            <v>64189</v>
          </cell>
          <cell r="B336" t="str">
            <v>150534208</v>
          </cell>
          <cell r="C336" t="str">
            <v>TOLMO GONZALEZ ROBINSON ALEJANDRO</v>
          </cell>
          <cell r="D336" t="str">
            <v>Operador Planta AH</v>
          </cell>
          <cell r="E336" t="str">
            <v>Oper. 7X7 12 Hrs TAB G04</v>
          </cell>
          <cell r="F336" t="str">
            <v>Masculino</v>
          </cell>
          <cell r="G336" t="str">
            <v>RGONZ065@CODELCO.CL</v>
          </cell>
          <cell r="H336">
            <v>43</v>
          </cell>
          <cell r="I336">
            <v>39630</v>
          </cell>
          <cell r="J336">
            <v>35562</v>
          </cell>
          <cell r="K336" t="str">
            <v>10</v>
          </cell>
          <cell r="L336">
            <v>42186</v>
          </cell>
          <cell r="M336">
            <v>39630</v>
          </cell>
          <cell r="N336">
            <v>35562</v>
          </cell>
          <cell r="O336">
            <v>35562</v>
          </cell>
          <cell r="P336">
            <v>54067</v>
          </cell>
          <cell r="Q336">
            <v>39545</v>
          </cell>
          <cell r="R336">
            <v>18</v>
          </cell>
          <cell r="S336">
            <v>39630</v>
          </cell>
          <cell r="T336" t="str">
            <v>CORREA MENDOZA CAMILA</v>
          </cell>
          <cell r="U336" t="str">
            <v>CCORR014@CODELCO.CL</v>
          </cell>
          <cell r="V336" t="str">
            <v>Gerencia de Operaciones</v>
          </cell>
          <cell r="W336" t="str">
            <v>Sptcia. Operacion Area Hum.</v>
          </cell>
          <cell r="X336" t="str">
            <v>Aglomeracion y Lixiviacion</v>
          </cell>
          <cell r="Y336" t="str">
            <v>Operativo</v>
          </cell>
          <cell r="Z336" t="str">
            <v>Indefinido</v>
          </cell>
        </row>
        <row r="337">
          <cell r="A337" t="str">
            <v>64191</v>
          </cell>
          <cell r="B337" t="str">
            <v>157333895</v>
          </cell>
          <cell r="C337" t="str">
            <v>MAIZARES CRUZ OSCAR JAIR</v>
          </cell>
          <cell r="D337" t="str">
            <v>Operador Planta AH</v>
          </cell>
          <cell r="E337" t="str">
            <v>Oper. 7X7 12 Hrs TAB G03</v>
          </cell>
          <cell r="F337" t="str">
            <v>Masculino</v>
          </cell>
          <cell r="G337" t="str">
            <v>OMAIZARE@CODELCO.CL</v>
          </cell>
          <cell r="H337">
            <v>43</v>
          </cell>
          <cell r="I337">
            <v>39630</v>
          </cell>
          <cell r="J337">
            <v>41518</v>
          </cell>
          <cell r="K337" t="str">
            <v>10</v>
          </cell>
          <cell r="L337">
            <v>44682</v>
          </cell>
          <cell r="M337">
            <v>39630</v>
          </cell>
          <cell r="N337">
            <v>38596</v>
          </cell>
          <cell r="O337">
            <v>38596</v>
          </cell>
          <cell r="P337">
            <v>54220</v>
          </cell>
          <cell r="Q337">
            <v>39545</v>
          </cell>
          <cell r="R337">
            <v>18</v>
          </cell>
          <cell r="S337">
            <v>39630</v>
          </cell>
          <cell r="T337" t="str">
            <v>NAVARRO CARVAJAL JUAN FRANCISCO</v>
          </cell>
          <cell r="U337" t="str">
            <v>JNAVA020@CODELCO.CL</v>
          </cell>
          <cell r="V337" t="str">
            <v>Gerencia de Operaciones</v>
          </cell>
          <cell r="W337" t="str">
            <v>Sptcia. Operacion Area Hum.</v>
          </cell>
          <cell r="X337" t="str">
            <v>Sx Ew y Patio de Embarque</v>
          </cell>
          <cell r="Y337" t="str">
            <v>Operativo</v>
          </cell>
          <cell r="Z337" t="str">
            <v>Indefinido</v>
          </cell>
        </row>
        <row r="338">
          <cell r="A338" t="str">
            <v>64192</v>
          </cell>
          <cell r="B338" t="str">
            <v>159858308</v>
          </cell>
          <cell r="C338" t="str">
            <v>ULLOA MORALES FELIPE VICTOR ANDRES</v>
          </cell>
          <cell r="D338" t="str">
            <v>Operador Planta AH</v>
          </cell>
          <cell r="E338" t="str">
            <v>Oper. 7X7 12 Hrs TAB G04</v>
          </cell>
          <cell r="F338" t="str">
            <v>Masculino</v>
          </cell>
          <cell r="G338" t="str">
            <v>FULLO001@CODELCO.CL</v>
          </cell>
          <cell r="H338">
            <v>41</v>
          </cell>
          <cell r="I338">
            <v>39630</v>
          </cell>
          <cell r="J338">
            <v>35562</v>
          </cell>
          <cell r="K338" t="str">
            <v>10</v>
          </cell>
          <cell r="L338">
            <v>44682</v>
          </cell>
          <cell r="M338">
            <v>39630</v>
          </cell>
          <cell r="N338">
            <v>35562</v>
          </cell>
          <cell r="O338">
            <v>35562</v>
          </cell>
          <cell r="P338">
            <v>54817</v>
          </cell>
          <cell r="Q338">
            <v>39545</v>
          </cell>
          <cell r="R338">
            <v>18</v>
          </cell>
          <cell r="S338">
            <v>39630</v>
          </cell>
          <cell r="T338" t="str">
            <v>CACERES TRONCOSO EDGARDO ANTONIO</v>
          </cell>
          <cell r="U338" t="str">
            <v>ECACE001@CODELCO.CL</v>
          </cell>
          <cell r="V338" t="str">
            <v>Gerencia de Operaciones</v>
          </cell>
          <cell r="W338" t="str">
            <v>Sptcia. Operacion Area Hum.</v>
          </cell>
          <cell r="X338" t="str">
            <v>Aglomeracion y Lixiviacion</v>
          </cell>
          <cell r="Y338" t="str">
            <v>Operativo</v>
          </cell>
          <cell r="Z338" t="str">
            <v>Indefinido</v>
          </cell>
        </row>
        <row r="339">
          <cell r="A339" t="str">
            <v>64193</v>
          </cell>
          <cell r="B339" t="str">
            <v>101537633</v>
          </cell>
          <cell r="C339" t="str">
            <v>AICHELE WESTERMEIER CLAUDIO FERNANDO</v>
          </cell>
          <cell r="D339" t="str">
            <v>Operador Planta AH</v>
          </cell>
          <cell r="E339" t="str">
            <v>Oper. 7X7 12 Hrs TAB A05</v>
          </cell>
          <cell r="F339" t="str">
            <v>Masculino</v>
          </cell>
          <cell r="G339" t="str">
            <v>CAICHELE@CODELCO.CL</v>
          </cell>
          <cell r="H339">
            <v>61</v>
          </cell>
          <cell r="I339">
            <v>39545</v>
          </cell>
          <cell r="J339">
            <v>41225</v>
          </cell>
          <cell r="K339" t="str">
            <v>10</v>
          </cell>
          <cell r="L339">
            <v>45413</v>
          </cell>
          <cell r="M339">
            <v>39545</v>
          </cell>
          <cell r="N339">
            <v>41225</v>
          </cell>
          <cell r="O339">
            <v>41225</v>
          </cell>
          <cell r="P339">
            <v>47646</v>
          </cell>
          <cell r="Q339">
            <v>39545</v>
          </cell>
          <cell r="R339">
            <v>18</v>
          </cell>
          <cell r="S339">
            <v>39545</v>
          </cell>
          <cell r="T339" t="str">
            <v>NAVARRO CARVAJAL JUAN FRANCISCO</v>
          </cell>
          <cell r="U339" t="str">
            <v>JNAVA020@CODELCO.CL</v>
          </cell>
          <cell r="V339" t="str">
            <v>Gerencia de Operaciones</v>
          </cell>
          <cell r="W339" t="str">
            <v>Sptcia. Operacion Area Hum.</v>
          </cell>
          <cell r="X339" t="str">
            <v>Sx Ew y Patio de Embarque</v>
          </cell>
          <cell r="Y339" t="str">
            <v>Operativo</v>
          </cell>
          <cell r="Z339" t="str">
            <v>Indefinido</v>
          </cell>
        </row>
        <row r="340">
          <cell r="A340" t="str">
            <v>64195</v>
          </cell>
          <cell r="B340" t="str">
            <v>124198011</v>
          </cell>
          <cell r="C340" t="str">
            <v>ADAOS RODRIGUEZ JOANNA KARINA</v>
          </cell>
          <cell r="D340" t="str">
            <v>Analista Geologia</v>
          </cell>
          <cell r="E340" t="str">
            <v>Prof. 4X3 12 hrs</v>
          </cell>
          <cell r="F340" t="str">
            <v>Femenino</v>
          </cell>
          <cell r="G340" t="str">
            <v>JADAOS@CODELCO.CL</v>
          </cell>
          <cell r="H340">
            <v>53</v>
          </cell>
          <cell r="I340">
            <v>39539</v>
          </cell>
          <cell r="J340">
            <v>41225</v>
          </cell>
          <cell r="K340" t="str">
            <v>9</v>
          </cell>
          <cell r="L340">
            <v>43586</v>
          </cell>
          <cell r="M340">
            <v>39539</v>
          </cell>
          <cell r="N340">
            <v>41225</v>
          </cell>
          <cell r="O340">
            <v>41225</v>
          </cell>
          <cell r="P340">
            <v>48796</v>
          </cell>
          <cell r="Q340">
            <v>39539</v>
          </cell>
          <cell r="R340">
            <v>18</v>
          </cell>
          <cell r="S340">
            <v>39539</v>
          </cell>
          <cell r="T340" t="str">
            <v>NICOLAS VARGAS CLAUDIO ESTEBAN</v>
          </cell>
          <cell r="U340" t="str">
            <v>CNICOLAS@CODELCO.CL</v>
          </cell>
          <cell r="V340" t="str">
            <v>Gerencia de Recursos Mineros y Desarr</v>
          </cell>
          <cell r="W340" t="str">
            <v>Superintendencia Geologia</v>
          </cell>
          <cell r="X340" t="str">
            <v>Superintendencia Geologia</v>
          </cell>
          <cell r="Y340" t="str">
            <v>Operativo</v>
          </cell>
          <cell r="Z340" t="str">
            <v>Indefinido</v>
          </cell>
        </row>
        <row r="341">
          <cell r="A341" t="str">
            <v>64198</v>
          </cell>
          <cell r="B341" t="str">
            <v>104685102</v>
          </cell>
          <cell r="C341" t="str">
            <v>BUGUEÑO BUGUEÑO RENAN OHIGGINS</v>
          </cell>
          <cell r="D341" t="str">
            <v>Operador Mina</v>
          </cell>
          <cell r="E341" t="str">
            <v>Oper. 7X7 12 Hrs TAB G04</v>
          </cell>
          <cell r="F341" t="str">
            <v>Masculino</v>
          </cell>
          <cell r="G341" t="str">
            <v>RBUGU008@CODELCO.CL</v>
          </cell>
          <cell r="H341">
            <v>61</v>
          </cell>
          <cell r="I341">
            <v>39580</v>
          </cell>
          <cell r="J341">
            <v>39569</v>
          </cell>
          <cell r="K341" t="str">
            <v>10</v>
          </cell>
          <cell r="L341">
            <v>41913</v>
          </cell>
          <cell r="M341">
            <v>39580</v>
          </cell>
          <cell r="N341">
            <v>36008</v>
          </cell>
          <cell r="O341">
            <v>35613</v>
          </cell>
          <cell r="P341">
            <v>47510</v>
          </cell>
          <cell r="Q341">
            <v>39587</v>
          </cell>
          <cell r="R341">
            <v>18</v>
          </cell>
          <cell r="S341">
            <v>39580</v>
          </cell>
          <cell r="T341" t="str">
            <v>Sin asignar</v>
          </cell>
          <cell r="U341" t="str">
            <v>Sin asignar</v>
          </cell>
          <cell r="V341" t="str">
            <v>Gerencia de Operaciones</v>
          </cell>
          <cell r="W341" t="str">
            <v>Sptcia. Operacion Mina</v>
          </cell>
          <cell r="X341" t="str">
            <v>Sptcia. Operacion Mina</v>
          </cell>
          <cell r="Y341" t="str">
            <v>Operativo</v>
          </cell>
          <cell r="Z341" t="str">
            <v>Indefinido</v>
          </cell>
        </row>
        <row r="342">
          <cell r="A342" t="str">
            <v>64201</v>
          </cell>
          <cell r="B342" t="str">
            <v>106667179</v>
          </cell>
          <cell r="C342" t="str">
            <v>PAZ CRUZ VICTOR MANUEL</v>
          </cell>
          <cell r="D342" t="str">
            <v>Operador Planta AS</v>
          </cell>
          <cell r="E342" t="str">
            <v>Oper. 7X7 12 Hrs TAB G04</v>
          </cell>
          <cell r="F342" t="str">
            <v>Masculino</v>
          </cell>
          <cell r="G342" t="str">
            <v>VPAZ@CODELCO.CL</v>
          </cell>
          <cell r="H342">
            <v>47</v>
          </cell>
          <cell r="I342">
            <v>39692</v>
          </cell>
          <cell r="J342">
            <v>40819</v>
          </cell>
          <cell r="K342" t="str">
            <v>10</v>
          </cell>
          <cell r="L342">
            <v>45413</v>
          </cell>
          <cell r="M342">
            <v>39692</v>
          </cell>
          <cell r="N342">
            <v>40819</v>
          </cell>
          <cell r="O342">
            <v>40819</v>
          </cell>
          <cell r="P342">
            <v>52351</v>
          </cell>
          <cell r="Q342">
            <v>39601</v>
          </cell>
          <cell r="R342">
            <v>18</v>
          </cell>
          <cell r="S342">
            <v>39692</v>
          </cell>
          <cell r="T342" t="str">
            <v>VIDELA GONZALEZ HERNAN MARCELO</v>
          </cell>
          <cell r="U342" t="str">
            <v>HVIDELA@CODELCO.CL</v>
          </cell>
          <cell r="V342" t="str">
            <v>Gerencia de Operaciones</v>
          </cell>
          <cell r="W342" t="str">
            <v>Sptcia. Operacion Area Seca</v>
          </cell>
          <cell r="X342" t="str">
            <v>Sptcia. Operacion Area Seca</v>
          </cell>
          <cell r="Y342" t="str">
            <v>Operativo</v>
          </cell>
          <cell r="Z342" t="str">
            <v>Indefinido</v>
          </cell>
        </row>
        <row r="343">
          <cell r="A343" t="str">
            <v>64202</v>
          </cell>
          <cell r="B343" t="str">
            <v>175379169</v>
          </cell>
          <cell r="C343" t="str">
            <v>BUGUEÑO BUGUEÑO MANUEL ALEJANDRO</v>
          </cell>
          <cell r="D343" t="str">
            <v>Operador Planta AS</v>
          </cell>
          <cell r="E343" t="str">
            <v>Oper. 7X7 12 Hrs TAB G02</v>
          </cell>
          <cell r="F343" t="str">
            <v>Masculino</v>
          </cell>
          <cell r="G343" t="str">
            <v>MBUGU009@CODELCO.CL</v>
          </cell>
          <cell r="H343">
            <v>50</v>
          </cell>
          <cell r="I343">
            <v>41918</v>
          </cell>
          <cell r="J343">
            <v>41918</v>
          </cell>
          <cell r="K343" t="str">
            <v>10</v>
          </cell>
          <cell r="L343">
            <v>45413</v>
          </cell>
          <cell r="M343">
            <v>41918</v>
          </cell>
          <cell r="N343">
            <v>41918</v>
          </cell>
          <cell r="O343">
            <v>41918</v>
          </cell>
          <cell r="P343">
            <v>51341</v>
          </cell>
          <cell r="Q343">
            <v>41918</v>
          </cell>
          <cell r="R343">
            <v>12</v>
          </cell>
          <cell r="S343">
            <v>41918</v>
          </cell>
          <cell r="T343" t="str">
            <v>Sin asignar</v>
          </cell>
          <cell r="U343" t="str">
            <v>Sin asignar</v>
          </cell>
          <cell r="V343" t="str">
            <v>Gerencia de Operaciones</v>
          </cell>
          <cell r="W343" t="str">
            <v>Sptcia. Operacion Area Seca</v>
          </cell>
          <cell r="X343" t="str">
            <v>Sptcia. Operacion Area Seca</v>
          </cell>
          <cell r="Y343" t="str">
            <v>Operativo</v>
          </cell>
          <cell r="Z343" t="str">
            <v>Indefinido</v>
          </cell>
        </row>
        <row r="344">
          <cell r="A344" t="str">
            <v>64203</v>
          </cell>
          <cell r="B344" t="str">
            <v>124462290</v>
          </cell>
          <cell r="C344" t="str">
            <v>CORTES ESQUIVEL PATRICIO MARCELO</v>
          </cell>
          <cell r="D344" t="str">
            <v>Operador Mayor Mina</v>
          </cell>
          <cell r="E344" t="str">
            <v>Oper. 7X7 12 Hrs TAB A06</v>
          </cell>
          <cell r="F344" t="str">
            <v>Masculino</v>
          </cell>
          <cell r="G344" t="str">
            <v>PCORT026@CODELCO.CL</v>
          </cell>
          <cell r="H344">
            <v>53</v>
          </cell>
          <cell r="I344">
            <v>39692</v>
          </cell>
          <cell r="J344">
            <v>45352</v>
          </cell>
          <cell r="K344" t="str">
            <v>9</v>
          </cell>
          <cell r="L344">
            <v>41852</v>
          </cell>
          <cell r="M344">
            <v>39692</v>
          </cell>
          <cell r="N344">
            <v>42005</v>
          </cell>
          <cell r="O344">
            <v>42005</v>
          </cell>
          <cell r="P344">
            <v>50448</v>
          </cell>
          <cell r="Q344">
            <v>39601</v>
          </cell>
          <cell r="R344">
            <v>18</v>
          </cell>
          <cell r="S344">
            <v>39692</v>
          </cell>
          <cell r="T344" t="str">
            <v>ROJAS ROJAS MAURICIO ALEJANDRO</v>
          </cell>
          <cell r="U344" t="str">
            <v>MROJA074@CODELCO.CL</v>
          </cell>
          <cell r="V344" t="str">
            <v>Gerencia de Operaciones</v>
          </cell>
          <cell r="W344" t="str">
            <v>Sptcia. Operacion Area Seca</v>
          </cell>
          <cell r="X344" t="str">
            <v>Sptcia. Operacion Area Seca</v>
          </cell>
          <cell r="Y344" t="str">
            <v>Operativo</v>
          </cell>
          <cell r="Z344" t="str">
            <v>Indefinido</v>
          </cell>
        </row>
        <row r="345">
          <cell r="A345" t="str">
            <v>64204</v>
          </cell>
          <cell r="B345" t="str">
            <v>150149142</v>
          </cell>
          <cell r="C345" t="str">
            <v>VELIZ OLMEDO OCTAVIO RAUL</v>
          </cell>
          <cell r="D345" t="str">
            <v>Operador Planta AS</v>
          </cell>
          <cell r="E345" t="str">
            <v>Oper. 7X7 12 Hrs TAB G03</v>
          </cell>
          <cell r="F345" t="str">
            <v>Masculino</v>
          </cell>
          <cell r="G345" t="str">
            <v>OVELIZ@CODELCO.CL</v>
          </cell>
          <cell r="H345">
            <v>46</v>
          </cell>
          <cell r="I345">
            <v>39692</v>
          </cell>
          <cell r="J345">
            <v>36073</v>
          </cell>
          <cell r="K345" t="str">
            <v>10</v>
          </cell>
          <cell r="L345">
            <v>41852</v>
          </cell>
          <cell r="M345">
            <v>39692</v>
          </cell>
          <cell r="N345">
            <v>36073</v>
          </cell>
          <cell r="O345">
            <v>36073</v>
          </cell>
          <cell r="P345">
            <v>53050</v>
          </cell>
          <cell r="Q345">
            <v>39601</v>
          </cell>
          <cell r="R345">
            <v>18</v>
          </cell>
          <cell r="S345">
            <v>39692</v>
          </cell>
          <cell r="T345" t="str">
            <v>VILCA LLAVE ALBERT ANTONIO</v>
          </cell>
          <cell r="U345" t="str">
            <v>AVILC003@CODELCO.CL</v>
          </cell>
          <cell r="V345" t="str">
            <v>Gerencia de Operaciones</v>
          </cell>
          <cell r="W345" t="str">
            <v>Sptcia. Operacion Area Seca</v>
          </cell>
          <cell r="X345" t="str">
            <v>Sptcia. Operacion Area Seca</v>
          </cell>
          <cell r="Y345" t="str">
            <v>Operativo</v>
          </cell>
          <cell r="Z345" t="str">
            <v>Indefinido</v>
          </cell>
        </row>
        <row r="346">
          <cell r="A346" t="str">
            <v>64205</v>
          </cell>
          <cell r="B346" t="str">
            <v>121447746</v>
          </cell>
          <cell r="C346" t="str">
            <v>VIDELA GONZALEZ HERNAN MARCELO</v>
          </cell>
          <cell r="D346" t="str">
            <v>Ing. Turno Op. Ripios</v>
          </cell>
          <cell r="E346" t="str">
            <v>Oper. 7X7 12 Hrs TAB G04</v>
          </cell>
          <cell r="F346" t="str">
            <v>Masculino</v>
          </cell>
          <cell r="G346" t="str">
            <v>HVIDELA@CODELCO.CL</v>
          </cell>
          <cell r="H346">
            <v>51</v>
          </cell>
          <cell r="I346">
            <v>39601</v>
          </cell>
          <cell r="J346">
            <v>36008</v>
          </cell>
          <cell r="K346" t="str">
            <v>8</v>
          </cell>
          <cell r="L346">
            <v>44501</v>
          </cell>
          <cell r="M346">
            <v>39601</v>
          </cell>
          <cell r="N346">
            <v>37712</v>
          </cell>
          <cell r="O346">
            <v>37712</v>
          </cell>
          <cell r="P346">
            <v>51217</v>
          </cell>
          <cell r="Q346">
            <v>39601</v>
          </cell>
          <cell r="R346">
            <v>18</v>
          </cell>
          <cell r="S346">
            <v>39601</v>
          </cell>
          <cell r="T346" t="str">
            <v>VILLARROEL FERNÁNDEZ IGNACIO ANTONIO</v>
          </cell>
          <cell r="U346" t="str">
            <v>IVILL015@CODELCO.CL</v>
          </cell>
          <cell r="V346" t="str">
            <v>Gerencia de Operaciones</v>
          </cell>
          <cell r="W346" t="str">
            <v>Sptcia. Operacion Area Seca</v>
          </cell>
          <cell r="X346" t="str">
            <v>Sptcia. Operacion Area Seca</v>
          </cell>
          <cell r="Y346" t="str">
            <v>Profesional</v>
          </cell>
          <cell r="Z346" t="str">
            <v>Indefinido</v>
          </cell>
        </row>
        <row r="347">
          <cell r="A347" t="str">
            <v>64209</v>
          </cell>
          <cell r="B347" t="str">
            <v>136481215</v>
          </cell>
          <cell r="C347" t="str">
            <v>SLANZI JORQUERA MARIO LEONARDO</v>
          </cell>
          <cell r="D347" t="str">
            <v>Operador Alarife</v>
          </cell>
          <cell r="E347" t="str">
            <v>Oper. 7X7 12 Hrs TAB A06</v>
          </cell>
          <cell r="F347" t="str">
            <v>Masculino</v>
          </cell>
          <cell r="G347" t="str">
            <v>MSLANZI@CODELCO.CL</v>
          </cell>
          <cell r="H347">
            <v>46</v>
          </cell>
          <cell r="I347">
            <v>39814</v>
          </cell>
          <cell r="J347">
            <v>41760</v>
          </cell>
          <cell r="K347" t="str">
            <v>11</v>
          </cell>
          <cell r="L347">
            <v>43586</v>
          </cell>
          <cell r="M347">
            <v>39814</v>
          </cell>
          <cell r="N347">
            <v>41518</v>
          </cell>
          <cell r="O347">
            <v>41518</v>
          </cell>
          <cell r="P347">
            <v>52950</v>
          </cell>
          <cell r="Q347">
            <v>39657</v>
          </cell>
          <cell r="R347">
            <v>17</v>
          </cell>
          <cell r="S347">
            <v>39814</v>
          </cell>
          <cell r="T347" t="str">
            <v>Sin asignar</v>
          </cell>
          <cell r="U347" t="str">
            <v>Sin asignar</v>
          </cell>
          <cell r="V347" t="str">
            <v>Gerencia de Recursos Mineros y Desarr</v>
          </cell>
          <cell r="W347" t="str">
            <v>Superintendencia Planificacion Minera</v>
          </cell>
          <cell r="X347" t="str">
            <v>Planificacion Mina Corto Plazo</v>
          </cell>
          <cell r="Y347" t="str">
            <v>Operativo</v>
          </cell>
          <cell r="Z347" t="str">
            <v>Indefinido</v>
          </cell>
        </row>
        <row r="348">
          <cell r="A348" t="str">
            <v>64212</v>
          </cell>
          <cell r="B348" t="str">
            <v>157698036</v>
          </cell>
          <cell r="C348" t="str">
            <v>AVILA QUEZADA RAUL ALEJANDRO</v>
          </cell>
          <cell r="D348" t="str">
            <v>Operador Planta AH</v>
          </cell>
          <cell r="E348" t="str">
            <v>Oper. 7X7 12 Hrs TAB G01</v>
          </cell>
          <cell r="F348" t="str">
            <v>Masculino</v>
          </cell>
          <cell r="G348" t="str">
            <v>RAVIL001@CODELCO.CL</v>
          </cell>
          <cell r="H348">
            <v>42</v>
          </cell>
          <cell r="I348">
            <v>39753</v>
          </cell>
          <cell r="J348">
            <v>41760</v>
          </cell>
          <cell r="K348" t="str">
            <v>10</v>
          </cell>
          <cell r="L348">
            <v>41030</v>
          </cell>
          <cell r="M348">
            <v>39753</v>
          </cell>
          <cell r="N348">
            <v>41518</v>
          </cell>
          <cell r="O348">
            <v>41518</v>
          </cell>
          <cell r="P348">
            <v>54639</v>
          </cell>
          <cell r="Q348">
            <v>39686</v>
          </cell>
          <cell r="R348">
            <v>18</v>
          </cell>
          <cell r="S348">
            <v>39753</v>
          </cell>
          <cell r="T348" t="str">
            <v>ROJAS ESPINOZA MELISSA DEL CARMEN</v>
          </cell>
          <cell r="U348" t="str">
            <v>MROJA134@CODELCO.CL</v>
          </cell>
          <cell r="V348" t="str">
            <v>Gerencia de Operaciones</v>
          </cell>
          <cell r="W348" t="str">
            <v>Sptcia. Operacion Area Hum.</v>
          </cell>
          <cell r="X348" t="str">
            <v>Sx Ew y Patio de Embarque</v>
          </cell>
          <cell r="Y348" t="str">
            <v>Operativo</v>
          </cell>
          <cell r="Z348" t="str">
            <v>Indefinido</v>
          </cell>
        </row>
        <row r="349">
          <cell r="A349" t="str">
            <v>64214</v>
          </cell>
          <cell r="B349" t="str">
            <v>011931660K</v>
          </cell>
          <cell r="C349" t="str">
            <v>RAMOS TOLEDO DARIO ISAIAS</v>
          </cell>
          <cell r="D349" t="str">
            <v>Ingeniero de Materiales</v>
          </cell>
          <cell r="E349" t="str">
            <v>Prof. 4X3 12 hrs</v>
          </cell>
          <cell r="F349" t="str">
            <v>Masculino</v>
          </cell>
          <cell r="G349" t="str">
            <v>DRAMO002@CODELCO.CL</v>
          </cell>
          <cell r="H349">
            <v>54</v>
          </cell>
          <cell r="I349">
            <v>39692</v>
          </cell>
          <cell r="J349">
            <v>36073</v>
          </cell>
          <cell r="K349" t="str">
            <v>8</v>
          </cell>
          <cell r="L349">
            <v>45931</v>
          </cell>
          <cell r="M349">
            <v>39692</v>
          </cell>
          <cell r="N349">
            <v>36073</v>
          </cell>
          <cell r="O349">
            <v>36073</v>
          </cell>
          <cell r="P349">
            <v>50317</v>
          </cell>
          <cell r="Q349">
            <v>39692</v>
          </cell>
          <cell r="R349">
            <v>18</v>
          </cell>
          <cell r="S349">
            <v>39692</v>
          </cell>
          <cell r="T349" t="str">
            <v>ROJAS LABRA CLAUDIO ANDRES</v>
          </cell>
          <cell r="U349" t="str">
            <v>CROJA106@CODELCO.CL</v>
          </cell>
          <cell r="V349" t="str">
            <v>Gerencia de Administración</v>
          </cell>
          <cell r="W349" t="str">
            <v>Direccion de Abastecimientos</v>
          </cell>
          <cell r="X349" t="str">
            <v>Adquisiciones</v>
          </cell>
          <cell r="Y349" t="str">
            <v>Profesional</v>
          </cell>
          <cell r="Z349" t="str">
            <v>Indefinido</v>
          </cell>
        </row>
        <row r="350">
          <cell r="A350" t="str">
            <v>64215</v>
          </cell>
          <cell r="B350" t="str">
            <v>122206076</v>
          </cell>
          <cell r="C350" t="str">
            <v>ORTIZ SOLIS RICARDO ENRIQUE</v>
          </cell>
          <cell r="D350" t="str">
            <v>Operador Mina</v>
          </cell>
          <cell r="E350" t="str">
            <v>Oper. 7X7 12 Hrs TAB G02</v>
          </cell>
          <cell r="F350" t="str">
            <v>Masculino</v>
          </cell>
          <cell r="G350" t="str">
            <v>RORTI013@CODELCO.CL</v>
          </cell>
          <cell r="H350">
            <v>53</v>
          </cell>
          <cell r="I350">
            <v>39734</v>
          </cell>
          <cell r="J350">
            <v>39814</v>
          </cell>
          <cell r="K350" t="str">
            <v>10</v>
          </cell>
          <cell r="L350">
            <v>42491</v>
          </cell>
          <cell r="M350">
            <v>39734</v>
          </cell>
          <cell r="N350">
            <v>35534</v>
          </cell>
          <cell r="O350">
            <v>35534</v>
          </cell>
          <cell r="P350">
            <v>50279</v>
          </cell>
          <cell r="Q350">
            <v>39741</v>
          </cell>
          <cell r="R350">
            <v>18</v>
          </cell>
          <cell r="S350">
            <v>39741</v>
          </cell>
          <cell r="T350" t="str">
            <v>ORTEGA ORTUYA CARLOS</v>
          </cell>
          <cell r="U350" t="str">
            <v>CORTE009@CODELCO.CL</v>
          </cell>
          <cell r="V350" t="str">
            <v>Gerencia de Operaciones</v>
          </cell>
          <cell r="W350" t="str">
            <v>Sptcia. Operacion Mina</v>
          </cell>
          <cell r="X350" t="str">
            <v>Sptcia. Operacion Mina</v>
          </cell>
          <cell r="Y350" t="str">
            <v>Operativo</v>
          </cell>
          <cell r="Z350" t="str">
            <v>Indefinido</v>
          </cell>
        </row>
        <row r="351">
          <cell r="A351" t="str">
            <v>64216</v>
          </cell>
          <cell r="B351" t="str">
            <v>164012182</v>
          </cell>
          <cell r="C351" t="str">
            <v>RAMOS GALLARDO JIMMY AARON</v>
          </cell>
          <cell r="D351" t="str">
            <v>Operador Mina</v>
          </cell>
          <cell r="E351" t="str">
            <v>Oper. 7X7 12 Hrs TAB G02</v>
          </cell>
          <cell r="F351" t="str">
            <v>Masculino</v>
          </cell>
          <cell r="G351" t="str">
            <v>JRAMO021@CODELCO.CL</v>
          </cell>
          <cell r="H351">
            <v>39</v>
          </cell>
          <cell r="I351">
            <v>39845</v>
          </cell>
          <cell r="J351">
            <v>39569</v>
          </cell>
          <cell r="K351" t="str">
            <v>10</v>
          </cell>
          <cell r="L351">
            <v>45413</v>
          </cell>
          <cell r="M351">
            <v>39845</v>
          </cell>
          <cell r="N351">
            <v>36008</v>
          </cell>
          <cell r="O351">
            <v>35613</v>
          </cell>
          <cell r="P351">
            <v>55596</v>
          </cell>
          <cell r="Q351">
            <v>39741</v>
          </cell>
          <cell r="R351">
            <v>17</v>
          </cell>
          <cell r="S351">
            <v>39845</v>
          </cell>
          <cell r="T351" t="str">
            <v>ORTEGA ORTUYA CARLOS</v>
          </cell>
          <cell r="U351" t="str">
            <v>CORTE009@CODELCO.CL</v>
          </cell>
          <cell r="V351" t="str">
            <v>Gerencia de Operaciones</v>
          </cell>
          <cell r="W351" t="str">
            <v>Sptcia. Operacion Mina</v>
          </cell>
          <cell r="X351" t="str">
            <v>Sptcia. Operacion Mina</v>
          </cell>
          <cell r="Y351" t="str">
            <v>Operativo</v>
          </cell>
          <cell r="Z351" t="str">
            <v>Indefinido</v>
          </cell>
        </row>
        <row r="352">
          <cell r="A352" t="str">
            <v>64217</v>
          </cell>
          <cell r="B352" t="str">
            <v>169346003</v>
          </cell>
          <cell r="C352" t="str">
            <v>MERCADO MERCADO JUAN ADOLFO</v>
          </cell>
          <cell r="D352" t="str">
            <v>Operador de Bodega</v>
          </cell>
          <cell r="E352" t="str">
            <v>Oper. 7X7 12 Hrs TAB A06</v>
          </cell>
          <cell r="F352" t="str">
            <v>Masculino</v>
          </cell>
          <cell r="G352" t="str">
            <v>JMERC005@CODELCO.CL</v>
          </cell>
          <cell r="H352">
            <v>52</v>
          </cell>
          <cell r="I352">
            <v>39753</v>
          </cell>
          <cell r="J352">
            <v>41760</v>
          </cell>
          <cell r="K352" t="str">
            <v>11</v>
          </cell>
          <cell r="L352">
            <v>41852</v>
          </cell>
          <cell r="M352">
            <v>39753</v>
          </cell>
          <cell r="N352">
            <v>41518</v>
          </cell>
          <cell r="O352">
            <v>41518</v>
          </cell>
          <cell r="P352">
            <v>50757</v>
          </cell>
          <cell r="Q352">
            <v>39753</v>
          </cell>
          <cell r="R352">
            <v>18</v>
          </cell>
          <cell r="S352">
            <v>39753</v>
          </cell>
          <cell r="T352" t="str">
            <v>ROJAS LABRA CLAUDIO ANDRES</v>
          </cell>
          <cell r="U352" t="str">
            <v>CROJA106@CODELCO.CL</v>
          </cell>
          <cell r="V352" t="str">
            <v>Gerencia de Administración</v>
          </cell>
          <cell r="W352" t="str">
            <v>Direccion de Abastecimientos</v>
          </cell>
          <cell r="X352" t="str">
            <v>Bodega</v>
          </cell>
          <cell r="Y352" t="str">
            <v>Operativo</v>
          </cell>
          <cell r="Z352" t="str">
            <v>Indefinido</v>
          </cell>
        </row>
        <row r="353">
          <cell r="A353" t="str">
            <v>64220</v>
          </cell>
          <cell r="B353" t="str">
            <v>134183292</v>
          </cell>
          <cell r="C353" t="str">
            <v>AYAVIRE NINA BENITO WILBERTO</v>
          </cell>
          <cell r="D353" t="str">
            <v>Operador Mayor Mina</v>
          </cell>
          <cell r="E353" t="str">
            <v>Oper. 7X7 12 Hrs TAB G03</v>
          </cell>
          <cell r="F353" t="str">
            <v>Masculino</v>
          </cell>
          <cell r="G353" t="str">
            <v>BAYAVIRE@CODELCO.CL</v>
          </cell>
          <cell r="H353">
            <v>49</v>
          </cell>
          <cell r="I353">
            <v>39818</v>
          </cell>
          <cell r="J353">
            <v>45748</v>
          </cell>
          <cell r="K353" t="str">
            <v>9</v>
          </cell>
          <cell r="L353">
            <v>45748</v>
          </cell>
          <cell r="M353">
            <v>39818</v>
          </cell>
          <cell r="N353">
            <v>36892</v>
          </cell>
          <cell r="O353">
            <v>36892</v>
          </cell>
          <cell r="P353">
            <v>52058</v>
          </cell>
          <cell r="Q353">
            <v>39818</v>
          </cell>
          <cell r="R353">
            <v>17</v>
          </cell>
          <cell r="S353">
            <v>39818</v>
          </cell>
          <cell r="T353" t="str">
            <v>VEGA ALMENDRA IGNACIA</v>
          </cell>
          <cell r="U353" t="str">
            <v>IVEGA004@CODELCO.CL</v>
          </cell>
          <cell r="V353" t="str">
            <v>Gerencia de Operaciones</v>
          </cell>
          <cell r="W353" t="str">
            <v>Sptcia. Operacion Mina</v>
          </cell>
          <cell r="X353" t="str">
            <v>Sptcia. Operacion Mina</v>
          </cell>
          <cell r="Y353" t="str">
            <v>Operativo</v>
          </cell>
          <cell r="Z353" t="str">
            <v>Indefinido</v>
          </cell>
        </row>
        <row r="354">
          <cell r="A354" t="str">
            <v>64221</v>
          </cell>
          <cell r="B354" t="str">
            <v>123983300</v>
          </cell>
          <cell r="C354" t="str">
            <v>GUARDIA MEZA LUIS ALBERTO</v>
          </cell>
          <cell r="D354" t="str">
            <v>Operador Mayor Mina</v>
          </cell>
          <cell r="E354" t="str">
            <v>Oper. 7X7 12 Hrs TAB G01</v>
          </cell>
          <cell r="F354" t="str">
            <v>Masculino</v>
          </cell>
          <cell r="G354" t="str">
            <v>LGUARDIA@CODELCO.CL</v>
          </cell>
          <cell r="H354">
            <v>53</v>
          </cell>
          <cell r="I354">
            <v>39818</v>
          </cell>
          <cell r="J354">
            <v>36526</v>
          </cell>
          <cell r="K354" t="str">
            <v>9</v>
          </cell>
          <cell r="L354">
            <v>45413</v>
          </cell>
          <cell r="M354">
            <v>39818</v>
          </cell>
          <cell r="N354">
            <v>36526</v>
          </cell>
          <cell r="O354">
            <v>36526</v>
          </cell>
          <cell r="P354">
            <v>50444</v>
          </cell>
          <cell r="Q354">
            <v>39818</v>
          </cell>
          <cell r="R354">
            <v>17</v>
          </cell>
          <cell r="S354">
            <v>39818</v>
          </cell>
          <cell r="T354" t="str">
            <v>ICETA BAEZA ANTONIO</v>
          </cell>
          <cell r="U354" t="str">
            <v>AICETA@CODELCO.CL</v>
          </cell>
          <cell r="V354" t="str">
            <v>Gerencia de Operaciones</v>
          </cell>
          <cell r="W354" t="str">
            <v>Sptcia. Operacion Mina</v>
          </cell>
          <cell r="X354" t="str">
            <v>Sptcia. Operacion Mina</v>
          </cell>
          <cell r="Y354" t="str">
            <v>Operativo</v>
          </cell>
          <cell r="Z354" t="str">
            <v>Indefinido</v>
          </cell>
        </row>
        <row r="355">
          <cell r="A355" t="str">
            <v>64222</v>
          </cell>
          <cell r="B355" t="str">
            <v>102964942</v>
          </cell>
          <cell r="C355" t="str">
            <v>ARANCIBIA GARCIA OSCAR ENRIQUE</v>
          </cell>
          <cell r="D355" t="str">
            <v>Operador Mina</v>
          </cell>
          <cell r="E355" t="str">
            <v>Oper. 7X7 12 Hrs TAB G02</v>
          </cell>
          <cell r="F355" t="str">
            <v>Masculino</v>
          </cell>
          <cell r="G355" t="str">
            <v>OARAN003@CODELCO.CL</v>
          </cell>
          <cell r="H355">
            <v>59</v>
          </cell>
          <cell r="I355">
            <v>39818</v>
          </cell>
          <cell r="J355">
            <v>39814</v>
          </cell>
          <cell r="K355" t="str">
            <v>10</v>
          </cell>
          <cell r="L355">
            <v>43586</v>
          </cell>
          <cell r="M355">
            <v>39818</v>
          </cell>
          <cell r="N355">
            <v>35534</v>
          </cell>
          <cell r="O355">
            <v>35534</v>
          </cell>
          <cell r="P355">
            <v>48381</v>
          </cell>
          <cell r="Q355">
            <v>39818</v>
          </cell>
          <cell r="R355">
            <v>17</v>
          </cell>
          <cell r="S355">
            <v>39818</v>
          </cell>
          <cell r="T355" t="str">
            <v>ORTEGA ORTUYA CARLOS</v>
          </cell>
          <cell r="U355" t="str">
            <v>CORTE009@CODELCO.CL</v>
          </cell>
          <cell r="V355" t="str">
            <v>Gerencia de Operaciones</v>
          </cell>
          <cell r="W355" t="str">
            <v>Sptcia. Operacion Mina</v>
          </cell>
          <cell r="X355" t="str">
            <v>Sptcia. Operacion Mina</v>
          </cell>
          <cell r="Y355" t="str">
            <v>Operativo</v>
          </cell>
          <cell r="Z355" t="str">
            <v>Indefinido</v>
          </cell>
        </row>
        <row r="356">
          <cell r="A356" t="str">
            <v>64225</v>
          </cell>
          <cell r="B356" t="str">
            <v>117263134</v>
          </cell>
          <cell r="C356" t="str">
            <v>PEREZ PASTEN JOSE JOAQUIN</v>
          </cell>
          <cell r="D356" t="str">
            <v>Operador Mina</v>
          </cell>
          <cell r="E356" t="str">
            <v>Oper. 7X7 12 Hrs TAB G01</v>
          </cell>
          <cell r="F356" t="str">
            <v>Masculino</v>
          </cell>
          <cell r="G356" t="str">
            <v>JPERE078@CODELCO.CL</v>
          </cell>
          <cell r="H356">
            <v>55</v>
          </cell>
          <cell r="I356">
            <v>39818</v>
          </cell>
          <cell r="J356">
            <v>41760</v>
          </cell>
          <cell r="K356" t="str">
            <v>10</v>
          </cell>
          <cell r="L356">
            <v>43586</v>
          </cell>
          <cell r="M356">
            <v>39818</v>
          </cell>
          <cell r="N356">
            <v>41518</v>
          </cell>
          <cell r="O356">
            <v>41518</v>
          </cell>
          <cell r="P356">
            <v>49691</v>
          </cell>
          <cell r="Q356">
            <v>39818</v>
          </cell>
          <cell r="R356">
            <v>17</v>
          </cell>
          <cell r="S356">
            <v>39818</v>
          </cell>
          <cell r="T356" t="str">
            <v>ICETA BAEZA ANTONIO</v>
          </cell>
          <cell r="U356" t="str">
            <v>AICETA@CODELCO.CL</v>
          </cell>
          <cell r="V356" t="str">
            <v>Gerencia de Operaciones</v>
          </cell>
          <cell r="W356" t="str">
            <v>Sptcia. Operacion Mina</v>
          </cell>
          <cell r="X356" t="str">
            <v>Sptcia. Operacion Mina</v>
          </cell>
          <cell r="Y356" t="str">
            <v>Operativo</v>
          </cell>
          <cell r="Z356" t="str">
            <v>Indefinido</v>
          </cell>
        </row>
        <row r="357">
          <cell r="A357" t="str">
            <v>64227</v>
          </cell>
          <cell r="B357" t="str">
            <v>123972406</v>
          </cell>
          <cell r="C357" t="str">
            <v>GONZALEZ ROJAS JUAN EMILIO</v>
          </cell>
          <cell r="D357" t="str">
            <v>Operador Mina</v>
          </cell>
          <cell r="E357" t="str">
            <v>Oper. 7X7 12 Hrs TAB G04</v>
          </cell>
          <cell r="F357" t="str">
            <v>Masculino</v>
          </cell>
          <cell r="G357" t="str">
            <v>JGONZ109@CODELCO.CL</v>
          </cell>
          <cell r="H357">
            <v>53</v>
          </cell>
          <cell r="I357">
            <v>39818</v>
          </cell>
          <cell r="J357">
            <v>39569</v>
          </cell>
          <cell r="K357" t="str">
            <v>10</v>
          </cell>
          <cell r="L357">
            <v>45778</v>
          </cell>
          <cell r="M357">
            <v>39818</v>
          </cell>
          <cell r="N357">
            <v>36008</v>
          </cell>
          <cell r="O357">
            <v>35613</v>
          </cell>
          <cell r="P357">
            <v>50720</v>
          </cell>
          <cell r="Q357">
            <v>39818</v>
          </cell>
          <cell r="R357">
            <v>17</v>
          </cell>
          <cell r="S357">
            <v>39818</v>
          </cell>
          <cell r="T357" t="str">
            <v>Sin asignar</v>
          </cell>
          <cell r="U357" t="str">
            <v>Sin asignar</v>
          </cell>
          <cell r="V357" t="str">
            <v>Gerencia de Operaciones</v>
          </cell>
          <cell r="W357" t="str">
            <v>Sptcia. Operacion Mina</v>
          </cell>
          <cell r="X357" t="str">
            <v>Sptcia. Operacion Mina</v>
          </cell>
          <cell r="Y357" t="str">
            <v>Operativo</v>
          </cell>
          <cell r="Z357" t="str">
            <v>Indefinido</v>
          </cell>
        </row>
        <row r="358">
          <cell r="A358" t="str">
            <v>64231</v>
          </cell>
          <cell r="B358" t="str">
            <v>150460557</v>
          </cell>
          <cell r="C358" t="str">
            <v>BRICEÑO VALENCIA JUAN</v>
          </cell>
          <cell r="D358" t="str">
            <v>Especialista Operativo Ripios</v>
          </cell>
          <cell r="E358" t="str">
            <v>Prof. 4X3 12 hrs</v>
          </cell>
          <cell r="F358" t="str">
            <v>Masculino</v>
          </cell>
          <cell r="G358" t="str">
            <v>JBRIC013@CODELCO.CL</v>
          </cell>
          <cell r="H358">
            <v>43</v>
          </cell>
          <cell r="I358">
            <v>46034</v>
          </cell>
          <cell r="J358">
            <v>46034</v>
          </cell>
          <cell r="K358" t="str">
            <v>#</v>
          </cell>
          <cell r="L358">
            <v>46034</v>
          </cell>
          <cell r="M358">
            <v>46034</v>
          </cell>
          <cell r="N358">
            <v>46034</v>
          </cell>
          <cell r="O358">
            <v>46034</v>
          </cell>
          <cell r="P358">
            <v>54053</v>
          </cell>
          <cell r="Q358">
            <v>46034</v>
          </cell>
          <cell r="R358">
            <v>0</v>
          </cell>
          <cell r="S358">
            <v>46034</v>
          </cell>
          <cell r="T358" t="str">
            <v>ROJAS ROJAS MAURICIO ALEJANDRO</v>
          </cell>
          <cell r="U358" t="str">
            <v>MROJA074@CODELCO.CL</v>
          </cell>
          <cell r="V358" t="str">
            <v>Gerencia de Operaciones</v>
          </cell>
          <cell r="W358" t="str">
            <v>Sptcia. Operacion Area Seca</v>
          </cell>
          <cell r="X358" t="str">
            <v>Sptcia. Operacion Area Seca</v>
          </cell>
          <cell r="Y358" t="str">
            <v>Operativo</v>
          </cell>
          <cell r="Z358" t="str">
            <v>Indefinido</v>
          </cell>
        </row>
        <row r="359">
          <cell r="A359" t="str">
            <v>64233</v>
          </cell>
          <cell r="B359" t="str">
            <v>122273644</v>
          </cell>
          <cell r="C359" t="str">
            <v>HERRERA POZO CRISTIAN BORIS</v>
          </cell>
          <cell r="D359" t="str">
            <v>Operador Mina</v>
          </cell>
          <cell r="E359" t="str">
            <v>Oper. 7X7 12 Hrs TAB G03</v>
          </cell>
          <cell r="F359" t="str">
            <v>Masculino</v>
          </cell>
          <cell r="G359" t="str">
            <v>CHERR023@CODELCO.CL</v>
          </cell>
          <cell r="H359">
            <v>53</v>
          </cell>
          <cell r="I359">
            <v>39934</v>
          </cell>
          <cell r="J359">
            <v>43831</v>
          </cell>
          <cell r="K359" t="str">
            <v>10</v>
          </cell>
          <cell r="L359">
            <v>40909</v>
          </cell>
          <cell r="M359">
            <v>39934</v>
          </cell>
          <cell r="N359">
            <v>41275</v>
          </cell>
          <cell r="O359">
            <v>43040</v>
          </cell>
          <cell r="P359">
            <v>50183</v>
          </cell>
          <cell r="Q359">
            <v>39853</v>
          </cell>
          <cell r="R359">
            <v>17</v>
          </cell>
          <cell r="S359">
            <v>39934</v>
          </cell>
          <cell r="T359" t="str">
            <v>ORTEGA ORTUYA CARLOS</v>
          </cell>
          <cell r="U359" t="str">
            <v>CORTE009@CODELCO.CL</v>
          </cell>
          <cell r="V359" t="str">
            <v>Gerencia de Operaciones</v>
          </cell>
          <cell r="W359" t="str">
            <v>Sptcia. Operacion Mina</v>
          </cell>
          <cell r="X359" t="str">
            <v>Sptcia. Operacion Mina</v>
          </cell>
          <cell r="Y359" t="str">
            <v>Operativo</v>
          </cell>
          <cell r="Z359" t="str">
            <v>Indefinido</v>
          </cell>
        </row>
        <row r="360">
          <cell r="A360" t="str">
            <v>64238</v>
          </cell>
          <cell r="B360" t="str">
            <v>130637310</v>
          </cell>
          <cell r="C360" t="str">
            <v>GARCIA CASTRO ROMAN MARCELO</v>
          </cell>
          <cell r="D360" t="str">
            <v>Operador Mayor Mina</v>
          </cell>
          <cell r="E360" t="str">
            <v>Oper. 7X7 12 Hrs TAB G04</v>
          </cell>
          <cell r="F360" t="str">
            <v>Masculino</v>
          </cell>
          <cell r="G360" t="str">
            <v>RGARC020@CODELCO.CL</v>
          </cell>
          <cell r="H360">
            <v>51</v>
          </cell>
          <cell r="I360">
            <v>40057</v>
          </cell>
          <cell r="J360">
            <v>39569</v>
          </cell>
          <cell r="K360" t="str">
            <v>#</v>
          </cell>
          <cell r="L360">
            <v>45413</v>
          </cell>
          <cell r="M360">
            <v>40057</v>
          </cell>
          <cell r="N360">
            <v>36008</v>
          </cell>
          <cell r="O360">
            <v>35613</v>
          </cell>
          <cell r="P360">
            <v>51225</v>
          </cell>
          <cell r="Q360">
            <v>39958</v>
          </cell>
          <cell r="R360">
            <v>17</v>
          </cell>
          <cell r="S360">
            <v>40057</v>
          </cell>
          <cell r="T360" t="str">
            <v>Sin asignar</v>
          </cell>
          <cell r="U360" t="str">
            <v>Sin asignar</v>
          </cell>
          <cell r="V360" t="str">
            <v>Gerencia de Operaciones</v>
          </cell>
          <cell r="W360" t="str">
            <v>Sptcia. Operacion Mina</v>
          </cell>
          <cell r="X360" t="str">
            <v>Sptcia. Operacion Mina</v>
          </cell>
          <cell r="Y360" t="str">
            <v>Operativo</v>
          </cell>
          <cell r="Z360" t="str">
            <v>Indefinido</v>
          </cell>
        </row>
        <row r="361">
          <cell r="A361" t="str">
            <v>64241</v>
          </cell>
          <cell r="B361" t="str">
            <v>136447866</v>
          </cell>
          <cell r="C361" t="str">
            <v>IBARRA MORGADO JAIME ALEJANDRO</v>
          </cell>
          <cell r="D361" t="str">
            <v>Especialista Operativo</v>
          </cell>
          <cell r="E361" t="str">
            <v>Oper. 7X7 12 Hrs TAB G02</v>
          </cell>
          <cell r="F361" t="str">
            <v>Masculino</v>
          </cell>
          <cell r="G361" t="str">
            <v>JIBAR013@CODELCO.CL</v>
          </cell>
          <cell r="H361">
            <v>47</v>
          </cell>
          <cell r="I361">
            <v>40179</v>
          </cell>
          <cell r="J361">
            <v>44531</v>
          </cell>
          <cell r="K361" t="str">
            <v>#</v>
          </cell>
          <cell r="L361">
            <v>43586</v>
          </cell>
          <cell r="M361">
            <v>40179</v>
          </cell>
          <cell r="N361">
            <v>44531</v>
          </cell>
          <cell r="O361">
            <v>44531</v>
          </cell>
          <cell r="P361">
            <v>52810</v>
          </cell>
          <cell r="Q361">
            <v>40084</v>
          </cell>
          <cell r="R361">
            <v>16</v>
          </cell>
          <cell r="S361">
            <v>40179</v>
          </cell>
          <cell r="T361" t="str">
            <v>ROJAS ESPINOZA MELISSA DEL CARMEN</v>
          </cell>
          <cell r="U361" t="str">
            <v>MROJA134@CODELCO.CL</v>
          </cell>
          <cell r="V361" t="str">
            <v>Gerencia de Operaciones</v>
          </cell>
          <cell r="W361" t="str">
            <v>Sptcia. Operacion Area Hum.</v>
          </cell>
          <cell r="X361" t="str">
            <v>Sptcia. Operacion Area Hum.</v>
          </cell>
          <cell r="Y361" t="str">
            <v>Operativo</v>
          </cell>
          <cell r="Z361" t="str">
            <v>Indefinido</v>
          </cell>
        </row>
        <row r="362">
          <cell r="A362" t="str">
            <v>64243</v>
          </cell>
          <cell r="B362" t="str">
            <v>65625288</v>
          </cell>
          <cell r="C362" t="str">
            <v>VASQUEZ LOPEZ ARTURO RICARDO</v>
          </cell>
          <cell r="D362" t="str">
            <v>Ing. Turno Op. Chancado y Apilamiento</v>
          </cell>
          <cell r="E362" t="str">
            <v>Oper. 7X7 12 Hrs TAB G03</v>
          </cell>
          <cell r="F362" t="str">
            <v>Masculino</v>
          </cell>
          <cell r="G362" t="str">
            <v>AVASQ018@CODELCO.CL</v>
          </cell>
          <cell r="H362">
            <v>64</v>
          </cell>
          <cell r="I362">
            <v>40210</v>
          </cell>
          <cell r="J362">
            <v>36570</v>
          </cell>
          <cell r="K362" t="str">
            <v>8</v>
          </cell>
          <cell r="L362">
            <v>41883</v>
          </cell>
          <cell r="M362">
            <v>40210</v>
          </cell>
          <cell r="N362">
            <v>36570</v>
          </cell>
          <cell r="O362">
            <v>36570</v>
          </cell>
          <cell r="P362">
            <v>46671</v>
          </cell>
          <cell r="Q362">
            <v>40105</v>
          </cell>
          <cell r="R362">
            <v>16</v>
          </cell>
          <cell r="S362">
            <v>40210</v>
          </cell>
          <cell r="T362" t="str">
            <v>POBLETE ESPINOZA FRANCISCO JAVIER</v>
          </cell>
          <cell r="U362" t="str">
            <v>FPOBL005@CODELCO.CL</v>
          </cell>
          <cell r="V362" t="str">
            <v>Gerencia de Operaciones</v>
          </cell>
          <cell r="W362" t="str">
            <v>Sptcia. Operacion Area Seca</v>
          </cell>
          <cell r="X362" t="str">
            <v>Sptcia. Operacion Area Seca</v>
          </cell>
          <cell r="Y362" t="str">
            <v>Profesional</v>
          </cell>
          <cell r="Z362" t="str">
            <v>Indefinido</v>
          </cell>
        </row>
        <row r="363">
          <cell r="A363" t="str">
            <v>64246</v>
          </cell>
          <cell r="B363" t="str">
            <v>119299721</v>
          </cell>
          <cell r="C363" t="str">
            <v>RAMIREZ MUNDACA LEONARDO HUMBERTO</v>
          </cell>
          <cell r="D363" t="str">
            <v>Operador Mina</v>
          </cell>
          <cell r="E363" t="str">
            <v>Oper. 7X7 12 Hrs TAB G04</v>
          </cell>
          <cell r="F363" t="str">
            <v>Masculino</v>
          </cell>
          <cell r="G363" t="str">
            <v>LRAMI014@CODELCO.CL</v>
          </cell>
          <cell r="H363">
            <v>54</v>
          </cell>
          <cell r="I363">
            <v>40210</v>
          </cell>
          <cell r="J363">
            <v>39569</v>
          </cell>
          <cell r="K363" t="str">
            <v>10</v>
          </cell>
          <cell r="L363">
            <v>45778</v>
          </cell>
          <cell r="M363">
            <v>40210</v>
          </cell>
          <cell r="N363">
            <v>36008</v>
          </cell>
          <cell r="O363">
            <v>35613</v>
          </cell>
          <cell r="P363">
            <v>50090</v>
          </cell>
          <cell r="Q363">
            <v>40119</v>
          </cell>
          <cell r="R363">
            <v>16</v>
          </cell>
          <cell r="S363">
            <v>40210</v>
          </cell>
          <cell r="T363" t="str">
            <v>Sin asignar</v>
          </cell>
          <cell r="U363" t="str">
            <v>Sin asignar</v>
          </cell>
          <cell r="V363" t="str">
            <v>Gerencia de Operaciones</v>
          </cell>
          <cell r="W363" t="str">
            <v>Sptcia. Operacion Mina</v>
          </cell>
          <cell r="X363" t="str">
            <v>Sptcia. Operacion Mina</v>
          </cell>
          <cell r="Y363" t="str">
            <v>Operativo</v>
          </cell>
          <cell r="Z363" t="str">
            <v>Indefinido</v>
          </cell>
        </row>
        <row r="364">
          <cell r="A364" t="str">
            <v>64253</v>
          </cell>
          <cell r="B364" t="str">
            <v>139543580</v>
          </cell>
          <cell r="C364" t="str">
            <v>QUINTANA ALARCON KAREN LISSETTE</v>
          </cell>
          <cell r="D364" t="str">
            <v>Coordinadora Gerencia General</v>
          </cell>
          <cell r="E364" t="str">
            <v>Prof. 4X3 12 hrs</v>
          </cell>
          <cell r="F364" t="str">
            <v>Femenino</v>
          </cell>
          <cell r="G364" t="str">
            <v>KQUINTAN@CODELCO.CL</v>
          </cell>
          <cell r="H364">
            <v>46</v>
          </cell>
          <cell r="I364">
            <v>40330</v>
          </cell>
          <cell r="J364">
            <v>44409</v>
          </cell>
          <cell r="K364" t="str">
            <v>9</v>
          </cell>
          <cell r="L364">
            <v>42887</v>
          </cell>
          <cell r="M364">
            <v>40330</v>
          </cell>
          <cell r="N364">
            <v>42430</v>
          </cell>
          <cell r="O364">
            <v>42430</v>
          </cell>
          <cell r="P364">
            <v>51146</v>
          </cell>
          <cell r="Q364">
            <v>40330</v>
          </cell>
          <cell r="R364">
            <v>16</v>
          </cell>
          <cell r="S364">
            <v>40330</v>
          </cell>
          <cell r="T364" t="str">
            <v>CABRERA CORREA CLAUDIA ALEJANDRA</v>
          </cell>
          <cell r="U364" t="str">
            <v>CLAUDIA.CABRERA@CODE</v>
          </cell>
          <cell r="V364" t="str">
            <v>Gerencia General División G. Mistral</v>
          </cell>
          <cell r="W364" t="str">
            <v>Sin asignar</v>
          </cell>
          <cell r="X364" t="str">
            <v>Gerencia General División G. Mistral</v>
          </cell>
          <cell r="Y364" t="str">
            <v>Operativo</v>
          </cell>
          <cell r="Z364" t="str">
            <v>Indefinido</v>
          </cell>
        </row>
        <row r="365">
          <cell r="A365" t="str">
            <v>64254</v>
          </cell>
          <cell r="B365" t="str">
            <v>125969321</v>
          </cell>
          <cell r="C365" t="str">
            <v>FUENTES MAYA MARIO ANTONIO</v>
          </cell>
          <cell r="D365" t="str">
            <v>Operador Mayor Planta AS</v>
          </cell>
          <cell r="E365" t="str">
            <v>Oper. 7X7 12 Hrs TAB A05</v>
          </cell>
          <cell r="F365" t="str">
            <v>Masculino</v>
          </cell>
          <cell r="G365" t="str">
            <v>MFUEN027@CODELCO.CL</v>
          </cell>
          <cell r="H365">
            <v>52</v>
          </cell>
          <cell r="I365">
            <v>40330</v>
          </cell>
          <cell r="J365">
            <v>45505</v>
          </cell>
          <cell r="K365" t="str">
            <v>9</v>
          </cell>
          <cell r="L365">
            <v>43221</v>
          </cell>
          <cell r="M365">
            <v>40330</v>
          </cell>
          <cell r="N365">
            <v>45505</v>
          </cell>
          <cell r="O365">
            <v>45505</v>
          </cell>
          <cell r="P365">
            <v>50844</v>
          </cell>
          <cell r="Q365">
            <v>40330</v>
          </cell>
          <cell r="R365">
            <v>16</v>
          </cell>
          <cell r="S365">
            <v>40330</v>
          </cell>
          <cell r="T365" t="str">
            <v>VILLARROEL FERNÁNDEZ IGNACIO ANTONIO</v>
          </cell>
          <cell r="U365" t="str">
            <v>IVILL015@CODELCO.CL</v>
          </cell>
          <cell r="V365" t="str">
            <v>Gerencia de Operaciones</v>
          </cell>
          <cell r="W365" t="str">
            <v>Sptcia. Operacion Area Seca</v>
          </cell>
          <cell r="X365" t="str">
            <v>Sptcia. Operacion Area Seca</v>
          </cell>
          <cell r="Y365" t="str">
            <v>Operativo</v>
          </cell>
          <cell r="Z365" t="str">
            <v>Indefinido</v>
          </cell>
        </row>
        <row r="366">
          <cell r="A366" t="str">
            <v>64255</v>
          </cell>
          <cell r="B366" t="str">
            <v>131726465</v>
          </cell>
          <cell r="C366" t="str">
            <v>ROJAS RIVERA VICTOR HUGO</v>
          </cell>
          <cell r="D366" t="str">
            <v>Operador Mina</v>
          </cell>
          <cell r="E366" t="str">
            <v>Oper. 7X7 12 Hrs TAB G03</v>
          </cell>
          <cell r="F366" t="str">
            <v>Masculino</v>
          </cell>
          <cell r="G366" t="str">
            <v>VROJA022@CODELCO.CL</v>
          </cell>
          <cell r="H366">
            <v>49</v>
          </cell>
          <cell r="I366">
            <v>40238</v>
          </cell>
          <cell r="J366">
            <v>43221</v>
          </cell>
          <cell r="K366" t="str">
            <v>10</v>
          </cell>
          <cell r="L366">
            <v>44682</v>
          </cell>
          <cell r="M366">
            <v>40238</v>
          </cell>
          <cell r="N366">
            <v>41313</v>
          </cell>
          <cell r="O366">
            <v>40947</v>
          </cell>
          <cell r="P366">
            <v>52171</v>
          </cell>
          <cell r="Q366">
            <v>40238</v>
          </cell>
          <cell r="R366">
            <v>16</v>
          </cell>
          <cell r="S366">
            <v>40238</v>
          </cell>
          <cell r="T366" t="str">
            <v>ZUMELZU BRAVO MARYLIN</v>
          </cell>
          <cell r="U366" t="str">
            <v>MZUME001@CODELCO.CL</v>
          </cell>
          <cell r="V366" t="str">
            <v>Gerencia de Operaciones</v>
          </cell>
          <cell r="W366" t="str">
            <v>Sptcia. Operacion Mina</v>
          </cell>
          <cell r="X366" t="str">
            <v>Sptcia. Operacion Mina</v>
          </cell>
          <cell r="Y366" t="str">
            <v>Operativo</v>
          </cell>
          <cell r="Z366" t="str">
            <v>Indefinido</v>
          </cell>
        </row>
        <row r="367">
          <cell r="A367" t="str">
            <v>64256</v>
          </cell>
          <cell r="B367" t="str">
            <v>97160457</v>
          </cell>
          <cell r="C367" t="str">
            <v>OLIVARES TAPIA ROBERTO ENRIQUE</v>
          </cell>
          <cell r="D367" t="str">
            <v>Ingeniero Turno Mtto. Mina</v>
          </cell>
          <cell r="E367" t="str">
            <v>Oper. 7X7 12 Hrs TAB G04</v>
          </cell>
          <cell r="F367" t="str">
            <v>Masculino</v>
          </cell>
          <cell r="G367" t="str">
            <v>ROLIV034@CODELCO.CL</v>
          </cell>
          <cell r="H367">
            <v>60</v>
          </cell>
          <cell r="I367">
            <v>40267</v>
          </cell>
          <cell r="J367">
            <v>42278</v>
          </cell>
          <cell r="K367" t="str">
            <v>8</v>
          </cell>
          <cell r="L367">
            <v>40695</v>
          </cell>
          <cell r="M367">
            <v>40267</v>
          </cell>
          <cell r="N367">
            <v>40397</v>
          </cell>
          <cell r="O367">
            <v>40032</v>
          </cell>
          <cell r="P367">
            <v>47841</v>
          </cell>
          <cell r="Q367">
            <v>40267</v>
          </cell>
          <cell r="R367">
            <v>16</v>
          </cell>
          <cell r="S367">
            <v>40267</v>
          </cell>
          <cell r="T367" t="str">
            <v>RUZ MIRANDA DANIEL ESTEBAN</v>
          </cell>
          <cell r="U367" t="str">
            <v>DRUZ@CODELCO.CL</v>
          </cell>
          <cell r="V367" t="str">
            <v>Gerencia de Mantenimiento</v>
          </cell>
          <cell r="W367" t="str">
            <v>Sptcia. Mtto. Mina</v>
          </cell>
          <cell r="X367" t="str">
            <v>Sptcia. Mtto. Mina</v>
          </cell>
          <cell r="Y367" t="str">
            <v>Profesional</v>
          </cell>
          <cell r="Z367" t="str">
            <v>Indefinido</v>
          </cell>
        </row>
        <row r="368">
          <cell r="A368" t="str">
            <v>64257</v>
          </cell>
          <cell r="B368" t="str">
            <v>134322314</v>
          </cell>
          <cell r="C368" t="str">
            <v>KARFACK APABLAZA HERMAN JONATHAN</v>
          </cell>
          <cell r="D368" t="str">
            <v>Ing. Especialista Procesos Metalúrgicos</v>
          </cell>
          <cell r="E368" t="str">
            <v>Prof. 4X3 12 hrs</v>
          </cell>
          <cell r="F368" t="str">
            <v>Masculino</v>
          </cell>
          <cell r="G368" t="str">
            <v>HKARFACK@CODELCO.CL</v>
          </cell>
          <cell r="H368">
            <v>47</v>
          </cell>
          <cell r="I368">
            <v>40299</v>
          </cell>
          <cell r="J368">
            <v>36892</v>
          </cell>
          <cell r="K368" t="str">
            <v>8</v>
          </cell>
          <cell r="L368">
            <v>45597</v>
          </cell>
          <cell r="M368">
            <v>40299</v>
          </cell>
          <cell r="N368">
            <v>36892</v>
          </cell>
          <cell r="O368">
            <v>36892</v>
          </cell>
          <cell r="P368">
            <v>52194</v>
          </cell>
          <cell r="Q368">
            <v>40299</v>
          </cell>
          <cell r="R368">
            <v>16</v>
          </cell>
          <cell r="S368">
            <v>40299</v>
          </cell>
          <cell r="T368" t="str">
            <v>VARGAS SANHUEZA MANUEL</v>
          </cell>
          <cell r="U368" t="str">
            <v>MVARG013@CODELCO.CL</v>
          </cell>
          <cell r="V368" t="str">
            <v>Gerencia de Operaciones</v>
          </cell>
          <cell r="W368" t="str">
            <v>Sptcia. Ingeniería de Procesos</v>
          </cell>
          <cell r="X368" t="str">
            <v>Sptcia. Ingeniería de Procesos</v>
          </cell>
          <cell r="Y368" t="str">
            <v>Profesional</v>
          </cell>
          <cell r="Z368" t="str">
            <v>Indefinido</v>
          </cell>
        </row>
        <row r="369">
          <cell r="A369" t="str">
            <v>64262</v>
          </cell>
          <cell r="B369" t="str">
            <v>114647349</v>
          </cell>
          <cell r="C369" t="str">
            <v>GUERRERO VELIZ JUAN HERNAN</v>
          </cell>
          <cell r="D369" t="str">
            <v>Ingeniero Turno Mtto. Chancado y Apilam.</v>
          </cell>
          <cell r="E369" t="str">
            <v>Oper. 7X7 12 Hrs TAB G04</v>
          </cell>
          <cell r="F369" t="str">
            <v>Masculino</v>
          </cell>
          <cell r="G369" t="str">
            <v>JGUER033@CODELCO.CL</v>
          </cell>
          <cell r="H369">
            <v>57</v>
          </cell>
          <cell r="I369">
            <v>40378</v>
          </cell>
          <cell r="J369">
            <v>45173</v>
          </cell>
          <cell r="K369" t="str">
            <v>8</v>
          </cell>
          <cell r="L369">
            <v>41883</v>
          </cell>
          <cell r="M369">
            <v>40378</v>
          </cell>
          <cell r="N369">
            <v>45173</v>
          </cell>
          <cell r="O369">
            <v>45173</v>
          </cell>
          <cell r="P369">
            <v>48934</v>
          </cell>
          <cell r="Q369">
            <v>40379</v>
          </cell>
          <cell r="R369">
            <v>15</v>
          </cell>
          <cell r="S369">
            <v>40378</v>
          </cell>
          <cell r="T369" t="str">
            <v>GUTIÉRREZ VALENCIA JAVIERA PAZ</v>
          </cell>
          <cell r="U369" t="str">
            <v>JGUTI050@CODELCO.CL</v>
          </cell>
          <cell r="V369" t="str">
            <v>Gerencia de Mantenimiento</v>
          </cell>
          <cell r="W369" t="str">
            <v>Sptcia. Mtto. Area Seca</v>
          </cell>
          <cell r="X369" t="str">
            <v>Sptcia. Mtto. Area Seca</v>
          </cell>
          <cell r="Y369" t="str">
            <v>Profesional</v>
          </cell>
          <cell r="Z369" t="str">
            <v>Indefinido</v>
          </cell>
        </row>
        <row r="370">
          <cell r="A370" t="str">
            <v>64265</v>
          </cell>
          <cell r="B370" t="str">
            <v>100733765</v>
          </cell>
          <cell r="C370" t="str">
            <v>VIDAL CEPEDA GERMAN ALFREDO</v>
          </cell>
          <cell r="D370" t="str">
            <v>Operador Mina</v>
          </cell>
          <cell r="E370" t="str">
            <v>Oper. 7X7 12 Hrs TAB G02</v>
          </cell>
          <cell r="F370" t="str">
            <v>Masculino</v>
          </cell>
          <cell r="G370" t="str">
            <v>GVIDA002@CODELCO.CL</v>
          </cell>
          <cell r="H370">
            <v>62</v>
          </cell>
          <cell r="I370">
            <v>40603</v>
          </cell>
          <cell r="J370">
            <v>37073</v>
          </cell>
          <cell r="K370" t="str">
            <v>10</v>
          </cell>
          <cell r="L370">
            <v>41852</v>
          </cell>
          <cell r="M370">
            <v>40603</v>
          </cell>
          <cell r="N370">
            <v>37073</v>
          </cell>
          <cell r="O370">
            <v>37073</v>
          </cell>
          <cell r="P370">
            <v>47241</v>
          </cell>
          <cell r="Q370">
            <v>40413</v>
          </cell>
          <cell r="R370">
            <v>15</v>
          </cell>
          <cell r="S370">
            <v>40603</v>
          </cell>
          <cell r="T370" t="str">
            <v>ORTEGA ORTUYA CARLOS</v>
          </cell>
          <cell r="U370" t="str">
            <v>CORTE009@CODELCO.CL</v>
          </cell>
          <cell r="V370" t="str">
            <v>Gerencia de Operaciones</v>
          </cell>
          <cell r="W370" t="str">
            <v>Sptcia. Operacion Mina</v>
          </cell>
          <cell r="X370" t="str">
            <v>Sptcia. Operacion Mina</v>
          </cell>
          <cell r="Y370" t="str">
            <v>Operativo</v>
          </cell>
          <cell r="Z370" t="str">
            <v>Indefinido</v>
          </cell>
        </row>
        <row r="371">
          <cell r="A371" t="str">
            <v>64272</v>
          </cell>
          <cell r="B371" t="str">
            <v>113774401</v>
          </cell>
          <cell r="C371" t="str">
            <v>MOLINA JALDIN SANTIAGO ENRIQUE</v>
          </cell>
          <cell r="D371" t="str">
            <v>Analista Operaciones LIX</v>
          </cell>
          <cell r="E371" t="str">
            <v>Prof. 4X3 12 hrs</v>
          </cell>
          <cell r="F371" t="str">
            <v>Masculino</v>
          </cell>
          <cell r="G371" t="str">
            <v>SMOLI002@CODELCO.CL</v>
          </cell>
          <cell r="H371">
            <v>57</v>
          </cell>
          <cell r="I371">
            <v>40497</v>
          </cell>
          <cell r="J371">
            <v>42186</v>
          </cell>
          <cell r="K371" t="str">
            <v>9</v>
          </cell>
          <cell r="L371">
            <v>45778</v>
          </cell>
          <cell r="M371">
            <v>40497</v>
          </cell>
          <cell r="N371">
            <v>41153</v>
          </cell>
          <cell r="O371">
            <v>40787</v>
          </cell>
          <cell r="P371">
            <v>49249</v>
          </cell>
          <cell r="Q371">
            <v>40497</v>
          </cell>
          <cell r="R371">
            <v>16</v>
          </cell>
          <cell r="S371">
            <v>40497</v>
          </cell>
          <cell r="T371" t="str">
            <v>RETAMAL ORTIZ JORGE</v>
          </cell>
          <cell r="U371" t="str">
            <v>JRETA003@CODELCO.CL</v>
          </cell>
          <cell r="V371" t="str">
            <v>Gerencia de Operaciones</v>
          </cell>
          <cell r="W371" t="str">
            <v>Sptcia. Operacion Area Hum.</v>
          </cell>
          <cell r="X371" t="str">
            <v>Sptcia. Operacion Area Hum.</v>
          </cell>
          <cell r="Y371" t="str">
            <v>Operativo</v>
          </cell>
          <cell r="Z371" t="str">
            <v>Indefinido</v>
          </cell>
        </row>
        <row r="372">
          <cell r="A372" t="str">
            <v>64280</v>
          </cell>
          <cell r="B372" t="str">
            <v>139765087</v>
          </cell>
          <cell r="C372" t="str">
            <v>GUTIERREZ ARAYA VICTOR MANUEL</v>
          </cell>
          <cell r="D372" t="str">
            <v>Operador Planta AH</v>
          </cell>
          <cell r="E372" t="str">
            <v>Oper. 7X7 12 Hrs TAB G03</v>
          </cell>
          <cell r="F372" t="str">
            <v>Masculino</v>
          </cell>
          <cell r="G372" t="str">
            <v>VGUTI007@CODELCO.CL</v>
          </cell>
          <cell r="H372">
            <v>45</v>
          </cell>
          <cell r="I372">
            <v>40725</v>
          </cell>
          <cell r="J372">
            <v>37165</v>
          </cell>
          <cell r="K372" t="str">
            <v>10</v>
          </cell>
          <cell r="L372">
            <v>44682</v>
          </cell>
          <cell r="M372">
            <v>40725</v>
          </cell>
          <cell r="N372">
            <v>37165</v>
          </cell>
          <cell r="O372">
            <v>37165</v>
          </cell>
          <cell r="P372">
            <v>53670</v>
          </cell>
          <cell r="Q372">
            <v>40560</v>
          </cell>
          <cell r="R372">
            <v>15</v>
          </cell>
          <cell r="S372">
            <v>40725</v>
          </cell>
          <cell r="T372" t="str">
            <v>NAVARRO CARVAJAL JUAN FRANCISCO</v>
          </cell>
          <cell r="U372" t="str">
            <v>JNAVA020@CODELCO.CL</v>
          </cell>
          <cell r="V372" t="str">
            <v>Gerencia de Operaciones</v>
          </cell>
          <cell r="W372" t="str">
            <v>Sptcia. Operacion Area Hum.</v>
          </cell>
          <cell r="X372" t="str">
            <v>Sx Ew y Patio de Embarque</v>
          </cell>
          <cell r="Y372" t="str">
            <v>Operativo</v>
          </cell>
          <cell r="Z372" t="str">
            <v>Indefinido</v>
          </cell>
        </row>
        <row r="373">
          <cell r="A373" t="str">
            <v>64282</v>
          </cell>
          <cell r="B373" t="str">
            <v>111817707</v>
          </cell>
          <cell r="C373" t="str">
            <v>CASTILLO BERRIOS MANUEL ANTONIO</v>
          </cell>
          <cell r="D373" t="str">
            <v>Operador Planta AH</v>
          </cell>
          <cell r="E373" t="str">
            <v>Prof. 4X3 12 hrs</v>
          </cell>
          <cell r="F373" t="str">
            <v>Masculino</v>
          </cell>
          <cell r="G373" t="str">
            <v>MCAST085@CODELCO.CL</v>
          </cell>
          <cell r="H373">
            <v>59</v>
          </cell>
          <cell r="I373">
            <v>40595</v>
          </cell>
          <cell r="J373">
            <v>35562</v>
          </cell>
          <cell r="K373" t="str">
            <v>10</v>
          </cell>
          <cell r="L373">
            <v>42856</v>
          </cell>
          <cell r="M373">
            <v>40595</v>
          </cell>
          <cell r="N373">
            <v>35562</v>
          </cell>
          <cell r="O373">
            <v>35562</v>
          </cell>
          <cell r="P373">
            <v>48409</v>
          </cell>
          <cell r="Q373">
            <v>40595</v>
          </cell>
          <cell r="R373">
            <v>15</v>
          </cell>
          <cell r="S373">
            <v>40595</v>
          </cell>
          <cell r="T373" t="str">
            <v>REGHEZZA CEA GIANNINA</v>
          </cell>
          <cell r="U373" t="str">
            <v>GREGH001@CODELCO.CL</v>
          </cell>
          <cell r="V373" t="str">
            <v>Gerencia de Operaciones</v>
          </cell>
          <cell r="W373" t="str">
            <v>Sptcia. Operacion Area Hum.</v>
          </cell>
          <cell r="X373" t="str">
            <v>Aglomeracion y Lixiviacion</v>
          </cell>
          <cell r="Y373" t="str">
            <v>Operativo</v>
          </cell>
          <cell r="Z373" t="str">
            <v>Indefinido</v>
          </cell>
        </row>
        <row r="374">
          <cell r="A374" t="str">
            <v>64284</v>
          </cell>
          <cell r="B374" t="str">
            <v>132287503</v>
          </cell>
          <cell r="C374" t="str">
            <v>RAMOS ROJAS LUISA LUCIANA</v>
          </cell>
          <cell r="D374" t="str">
            <v>Operador Mina</v>
          </cell>
          <cell r="E374" t="str">
            <v>Oper. 7X7 12 Hrs TAB G02</v>
          </cell>
          <cell r="F374" t="str">
            <v>Femenino</v>
          </cell>
          <cell r="G374" t="str">
            <v>LRAMO009@CODELCO.CL</v>
          </cell>
          <cell r="H374">
            <v>49</v>
          </cell>
          <cell r="I374">
            <v>40909</v>
          </cell>
          <cell r="J374">
            <v>39569</v>
          </cell>
          <cell r="K374" t="str">
            <v>10</v>
          </cell>
          <cell r="L374">
            <v>43221</v>
          </cell>
          <cell r="M374">
            <v>40909</v>
          </cell>
          <cell r="N374">
            <v>36008</v>
          </cell>
          <cell r="O374">
            <v>35613</v>
          </cell>
          <cell r="P374">
            <v>50145</v>
          </cell>
          <cell r="Q374">
            <v>40603</v>
          </cell>
          <cell r="R374">
            <v>14</v>
          </cell>
          <cell r="S374">
            <v>40909</v>
          </cell>
          <cell r="T374" t="str">
            <v>ORTEGA ORTUYA CARLOS</v>
          </cell>
          <cell r="U374" t="str">
            <v>CORTE009@CODELCO.CL</v>
          </cell>
          <cell r="V374" t="str">
            <v>Gerencia de Operaciones</v>
          </cell>
          <cell r="W374" t="str">
            <v>Sptcia. Operacion Mina</v>
          </cell>
          <cell r="X374" t="str">
            <v>Sptcia. Operacion Mina</v>
          </cell>
          <cell r="Y374" t="str">
            <v>Operativo</v>
          </cell>
          <cell r="Z374" t="str">
            <v>Indefinido</v>
          </cell>
        </row>
        <row r="375">
          <cell r="A375" t="str">
            <v>64288</v>
          </cell>
          <cell r="B375" t="str">
            <v>012088140K</v>
          </cell>
          <cell r="C375" t="str">
            <v>BUSTON LIENDRO ELADIO ACENCIO</v>
          </cell>
          <cell r="D375" t="str">
            <v>Operador Mayor Mina</v>
          </cell>
          <cell r="E375" t="str">
            <v>Oper. 7X7 12 Hrs TAB G01</v>
          </cell>
          <cell r="F375" t="str">
            <v>Masculino</v>
          </cell>
          <cell r="G375" t="str">
            <v>EBUSTON@CODELCO.CL</v>
          </cell>
          <cell r="H375">
            <v>58</v>
          </cell>
          <cell r="I375">
            <v>40672</v>
          </cell>
          <cell r="J375">
            <v>41183</v>
          </cell>
          <cell r="K375" t="str">
            <v>9</v>
          </cell>
          <cell r="L375">
            <v>45413</v>
          </cell>
          <cell r="M375">
            <v>40672</v>
          </cell>
          <cell r="N375">
            <v>41183</v>
          </cell>
          <cell r="O375">
            <v>41183</v>
          </cell>
          <cell r="P375">
            <v>48766</v>
          </cell>
          <cell r="Q375">
            <v>40672</v>
          </cell>
          <cell r="R375">
            <v>15</v>
          </cell>
          <cell r="S375">
            <v>40672</v>
          </cell>
          <cell r="T375" t="str">
            <v>ICETA BAEZA ANTONIO</v>
          </cell>
          <cell r="U375" t="str">
            <v>AICETA@CODELCO.CL</v>
          </cell>
          <cell r="V375" t="str">
            <v>Gerencia de Operaciones</v>
          </cell>
          <cell r="W375" t="str">
            <v>Sptcia. Operacion Mina</v>
          </cell>
          <cell r="X375" t="str">
            <v>Sptcia. Operacion Mina</v>
          </cell>
          <cell r="Y375" t="str">
            <v>Operativo</v>
          </cell>
          <cell r="Z375" t="str">
            <v>Indefinido</v>
          </cell>
        </row>
        <row r="376">
          <cell r="A376" t="str">
            <v>64295</v>
          </cell>
          <cell r="B376" t="str">
            <v>141089048</v>
          </cell>
          <cell r="C376" t="str">
            <v>JORQUERA TRIGO JAIME ALEJANDRO</v>
          </cell>
          <cell r="D376" t="str">
            <v>Operador Mayor Planta AS</v>
          </cell>
          <cell r="E376" t="str">
            <v>Oper. 7X7 12 Hrs TAB G03</v>
          </cell>
          <cell r="F376" t="str">
            <v>Masculino</v>
          </cell>
          <cell r="G376" t="str">
            <v>JJORQ004@CODELCO.CL</v>
          </cell>
          <cell r="H376">
            <v>45</v>
          </cell>
          <cell r="I376">
            <v>40714</v>
          </cell>
          <cell r="J376">
            <v>37019</v>
          </cell>
          <cell r="K376" t="str">
            <v>#</v>
          </cell>
          <cell r="L376">
            <v>45870</v>
          </cell>
          <cell r="M376">
            <v>40714</v>
          </cell>
          <cell r="N376">
            <v>37196</v>
          </cell>
          <cell r="O376">
            <v>37196</v>
          </cell>
          <cell r="P376">
            <v>53399</v>
          </cell>
          <cell r="Q376">
            <v>40714</v>
          </cell>
          <cell r="R376">
            <v>14</v>
          </cell>
          <cell r="S376">
            <v>40714</v>
          </cell>
          <cell r="T376" t="str">
            <v>POBLETE ESPINOZA FRANCISCO JAVIER</v>
          </cell>
          <cell r="U376" t="str">
            <v>FPOBL005@CODELCO.CL</v>
          </cell>
          <cell r="V376" t="str">
            <v>Gerencia de Operaciones</v>
          </cell>
          <cell r="W376" t="str">
            <v>Sptcia. Operacion Area Seca</v>
          </cell>
          <cell r="X376" t="str">
            <v>Sptcia. Operacion Area Seca</v>
          </cell>
          <cell r="Y376" t="str">
            <v>Operativo</v>
          </cell>
          <cell r="Z376" t="str">
            <v>Indefinido</v>
          </cell>
        </row>
        <row r="377">
          <cell r="A377" t="str">
            <v>64296</v>
          </cell>
          <cell r="B377" t="str">
            <v>132166374</v>
          </cell>
          <cell r="C377" t="str">
            <v>AYALA ROJAS KARINA MARCELA</v>
          </cell>
          <cell r="D377" t="str">
            <v>Operador Mina</v>
          </cell>
          <cell r="E377" t="str">
            <v>Oper. 7X7 12 Hrs TAB G03</v>
          </cell>
          <cell r="F377" t="str">
            <v>Femenino</v>
          </cell>
          <cell r="G377" t="str">
            <v>KAYAL001@CODELCO.CL</v>
          </cell>
          <cell r="H377">
            <v>48</v>
          </cell>
          <cell r="I377">
            <v>40817</v>
          </cell>
          <cell r="J377">
            <v>39569</v>
          </cell>
          <cell r="K377" t="str">
            <v>10</v>
          </cell>
          <cell r="L377">
            <v>44682</v>
          </cell>
          <cell r="M377">
            <v>40817</v>
          </cell>
          <cell r="N377">
            <v>36008</v>
          </cell>
          <cell r="O377">
            <v>35613</v>
          </cell>
          <cell r="P377">
            <v>50151</v>
          </cell>
          <cell r="Q377">
            <v>40714</v>
          </cell>
          <cell r="R377">
            <v>15</v>
          </cell>
          <cell r="S377">
            <v>40817</v>
          </cell>
          <cell r="T377" t="str">
            <v>ZUMELZU BRAVO MARYLIN</v>
          </cell>
          <cell r="U377" t="str">
            <v>MZUME001@CODELCO.CL</v>
          </cell>
          <cell r="V377" t="str">
            <v>Gerencia de Operaciones</v>
          </cell>
          <cell r="W377" t="str">
            <v>Sptcia. Operacion Mina</v>
          </cell>
          <cell r="X377" t="str">
            <v>Sptcia. Operacion Mina</v>
          </cell>
          <cell r="Y377" t="str">
            <v>Operativo</v>
          </cell>
          <cell r="Z377" t="str">
            <v>Indefinido</v>
          </cell>
        </row>
        <row r="378">
          <cell r="A378" t="str">
            <v>64310</v>
          </cell>
          <cell r="B378" t="str">
            <v>124422019</v>
          </cell>
          <cell r="C378" t="str">
            <v>HERRERA LOPEZ PATRICIO JAVIER</v>
          </cell>
          <cell r="D378" t="str">
            <v>Operador Mina</v>
          </cell>
          <cell r="E378" t="str">
            <v>Oper. 7X7 12 Hrs TAB G04</v>
          </cell>
          <cell r="F378" t="str">
            <v>Masculino</v>
          </cell>
          <cell r="G378" t="str">
            <v>PHERR015@CODELCO.CL</v>
          </cell>
          <cell r="H378">
            <v>52</v>
          </cell>
          <cell r="I378">
            <v>40742</v>
          </cell>
          <cell r="J378">
            <v>39569</v>
          </cell>
          <cell r="K378" t="str">
            <v>10</v>
          </cell>
          <cell r="L378">
            <v>43586</v>
          </cell>
          <cell r="M378">
            <v>40742</v>
          </cell>
          <cell r="N378">
            <v>36008</v>
          </cell>
          <cell r="O378">
            <v>35613</v>
          </cell>
          <cell r="P378">
            <v>50519</v>
          </cell>
          <cell r="Q378">
            <v>40742</v>
          </cell>
          <cell r="R378">
            <v>14</v>
          </cell>
          <cell r="S378">
            <v>40742</v>
          </cell>
          <cell r="T378" t="str">
            <v>Sin asignar</v>
          </cell>
          <cell r="U378" t="str">
            <v>Sin asignar</v>
          </cell>
          <cell r="V378" t="str">
            <v>Gerencia de Operaciones</v>
          </cell>
          <cell r="W378" t="str">
            <v>Sptcia. Operacion Mina</v>
          </cell>
          <cell r="X378" t="str">
            <v>Sptcia. Operacion Mina</v>
          </cell>
          <cell r="Y378" t="str">
            <v>Operativo</v>
          </cell>
          <cell r="Z378" t="str">
            <v>Indefinido</v>
          </cell>
        </row>
        <row r="379">
          <cell r="A379" t="str">
            <v>64311</v>
          </cell>
          <cell r="B379" t="str">
            <v>123983009</v>
          </cell>
          <cell r="C379" t="str">
            <v>PLAZA ROJAS PATRICIO FERMIN</v>
          </cell>
          <cell r="D379" t="str">
            <v>Operador Mina</v>
          </cell>
          <cell r="E379" t="str">
            <v>Oper. 7X7 12 Hrs TAB G01</v>
          </cell>
          <cell r="F379" t="str">
            <v>Masculino</v>
          </cell>
          <cell r="G379" t="str">
            <v>PPLAZ005@CODELCO.CL</v>
          </cell>
          <cell r="H379">
            <v>56</v>
          </cell>
          <cell r="I379">
            <v>40742</v>
          </cell>
          <cell r="J379">
            <v>41760</v>
          </cell>
          <cell r="K379" t="str">
            <v>10</v>
          </cell>
          <cell r="L379">
            <v>43586</v>
          </cell>
          <cell r="M379">
            <v>40742</v>
          </cell>
          <cell r="N379">
            <v>41518</v>
          </cell>
          <cell r="O379">
            <v>41518</v>
          </cell>
          <cell r="P379">
            <v>49467</v>
          </cell>
          <cell r="Q379">
            <v>40742</v>
          </cell>
          <cell r="R379">
            <v>14</v>
          </cell>
          <cell r="S379">
            <v>40742</v>
          </cell>
          <cell r="T379" t="str">
            <v>ICETA BAEZA ANTONIO</v>
          </cell>
          <cell r="U379" t="str">
            <v>AICETA@CODELCO.CL</v>
          </cell>
          <cell r="V379" t="str">
            <v>Gerencia de Operaciones</v>
          </cell>
          <cell r="W379" t="str">
            <v>Sptcia. Operacion Mina</v>
          </cell>
          <cell r="X379" t="str">
            <v>Sptcia. Operacion Mina</v>
          </cell>
          <cell r="Y379" t="str">
            <v>Operativo</v>
          </cell>
          <cell r="Z379" t="str">
            <v>Indefinido</v>
          </cell>
        </row>
        <row r="380">
          <cell r="A380" t="str">
            <v>64317</v>
          </cell>
          <cell r="B380" t="str">
            <v>014308731K</v>
          </cell>
          <cell r="C380" t="str">
            <v>ACUÑA TRONCOSO JUAN CARLOS</v>
          </cell>
          <cell r="D380" t="str">
            <v>Ingeniero/a Proyectos</v>
          </cell>
          <cell r="E380" t="str">
            <v>Oper. 7X7 12 Hrs TAB A05</v>
          </cell>
          <cell r="F380" t="str">
            <v>Masculino</v>
          </cell>
          <cell r="G380" t="str">
            <v>JACUN007@CODELCO.CL</v>
          </cell>
          <cell r="H380">
            <v>50</v>
          </cell>
          <cell r="I380">
            <v>45748</v>
          </cell>
          <cell r="J380">
            <v>45748</v>
          </cell>
          <cell r="K380" t="str">
            <v>8</v>
          </cell>
          <cell r="L380">
            <v>45748</v>
          </cell>
          <cell r="M380">
            <v>45748</v>
          </cell>
          <cell r="N380">
            <v>45748</v>
          </cell>
          <cell r="O380">
            <v>45689</v>
          </cell>
          <cell r="P380">
            <v>51629</v>
          </cell>
          <cell r="Q380">
            <v>40777</v>
          </cell>
          <cell r="R380">
            <v>1</v>
          </cell>
          <cell r="S380">
            <v>45748</v>
          </cell>
          <cell r="T380" t="str">
            <v>JARA FARIÑA JORGE GUILLERMO</v>
          </cell>
          <cell r="U380" t="str">
            <v>JJARA027@CODELCO.CL</v>
          </cell>
          <cell r="V380" t="str">
            <v>Gerencia de Administración</v>
          </cell>
          <cell r="W380" t="str">
            <v>Supte. Proyectos, Infra. y Suministros</v>
          </cell>
          <cell r="X380" t="str">
            <v>Supte. Proyectos, Infra. y Suministros</v>
          </cell>
          <cell r="Y380" t="str">
            <v>Profesional</v>
          </cell>
          <cell r="Z380" t="str">
            <v>Indefinido</v>
          </cell>
        </row>
        <row r="381">
          <cell r="A381" t="str">
            <v>64322</v>
          </cell>
          <cell r="B381" t="str">
            <v>128586709</v>
          </cell>
          <cell r="C381" t="str">
            <v>SEPULVEDA SEPULVEDA FRANCISCO ROBERTO</v>
          </cell>
          <cell r="D381" t="str">
            <v>Ingeniero Turno Mtto. Mina</v>
          </cell>
          <cell r="E381" t="str">
            <v>Oper. 7X7 12 Hrs TAB G01</v>
          </cell>
          <cell r="F381" t="str">
            <v>Masculino</v>
          </cell>
          <cell r="G381" t="str">
            <v>FSEPU005@CODELCO.CL</v>
          </cell>
          <cell r="H381">
            <v>50</v>
          </cell>
          <cell r="I381">
            <v>40940</v>
          </cell>
          <cell r="J381">
            <v>41350</v>
          </cell>
          <cell r="K381" t="str">
            <v>8</v>
          </cell>
          <cell r="L381">
            <v>45597</v>
          </cell>
          <cell r="M381">
            <v>40940</v>
          </cell>
          <cell r="N381">
            <v>41350</v>
          </cell>
          <cell r="O381">
            <v>41260</v>
          </cell>
          <cell r="P381">
            <v>51309</v>
          </cell>
          <cell r="Q381">
            <v>40798</v>
          </cell>
          <cell r="R381">
            <v>14</v>
          </cell>
          <cell r="S381">
            <v>40940</v>
          </cell>
          <cell r="T381" t="str">
            <v>RUZ MIRANDA DANIEL ESTEBAN</v>
          </cell>
          <cell r="U381" t="str">
            <v>DRUZ@CODELCO.CL</v>
          </cell>
          <cell r="V381" t="str">
            <v>Gerencia de Mantenimiento</v>
          </cell>
          <cell r="W381" t="str">
            <v>Sptcia. Mtto. Mina</v>
          </cell>
          <cell r="X381" t="str">
            <v>Sptcia. Mtto. Mina</v>
          </cell>
          <cell r="Y381" t="str">
            <v>Profesional</v>
          </cell>
          <cell r="Z381" t="str">
            <v>Indefinido</v>
          </cell>
        </row>
        <row r="382">
          <cell r="A382" t="str">
            <v>64340</v>
          </cell>
          <cell r="B382" t="str">
            <v>159825817</v>
          </cell>
          <cell r="C382" t="str">
            <v>MURAÑA BAUTISTA ERIC ARIEL</v>
          </cell>
          <cell r="D382" t="str">
            <v>Operador Mina</v>
          </cell>
          <cell r="E382" t="str">
            <v>Oper. 7X7 12 Hrs TAB G03</v>
          </cell>
          <cell r="F382" t="str">
            <v>Masculino</v>
          </cell>
          <cell r="G382" t="str">
            <v>EMURA002@CODELCO.CL</v>
          </cell>
          <cell r="H382">
            <v>41</v>
          </cell>
          <cell r="I382">
            <v>40940</v>
          </cell>
          <cell r="J382">
            <v>41760</v>
          </cell>
          <cell r="K382" t="str">
            <v>10</v>
          </cell>
          <cell r="L382">
            <v>45778</v>
          </cell>
          <cell r="M382">
            <v>40940</v>
          </cell>
          <cell r="N382">
            <v>41518</v>
          </cell>
          <cell r="O382">
            <v>41518</v>
          </cell>
          <cell r="P382">
            <v>54840</v>
          </cell>
          <cell r="Q382">
            <v>40817</v>
          </cell>
          <cell r="R382">
            <v>14</v>
          </cell>
          <cell r="S382">
            <v>40940</v>
          </cell>
          <cell r="T382" t="str">
            <v>ZUMELZU BRAVO MARYLIN</v>
          </cell>
          <cell r="U382" t="str">
            <v>MZUME001@CODELCO.CL</v>
          </cell>
          <cell r="V382" t="str">
            <v>Gerencia de Operaciones</v>
          </cell>
          <cell r="W382" t="str">
            <v>Sptcia. Operacion Mina</v>
          </cell>
          <cell r="X382" t="str">
            <v>Sptcia. Operacion Mina</v>
          </cell>
          <cell r="Y382" t="str">
            <v>Operativo</v>
          </cell>
          <cell r="Z382" t="str">
            <v>Indefinido</v>
          </cell>
        </row>
        <row r="383">
          <cell r="A383" t="str">
            <v>64342</v>
          </cell>
          <cell r="B383" t="str">
            <v>145947588</v>
          </cell>
          <cell r="C383" t="str">
            <v>MORO ARAYA MIGUEL TOMAS</v>
          </cell>
          <cell r="D383" t="str">
            <v>Operador Mina</v>
          </cell>
          <cell r="E383" t="str">
            <v>Oper. 7X7 12 Hrs TAB G01</v>
          </cell>
          <cell r="F383" t="str">
            <v>Masculino</v>
          </cell>
          <cell r="G383" t="str">
            <v>MMORO@CODELCO.CL</v>
          </cell>
          <cell r="H383">
            <v>44</v>
          </cell>
          <cell r="I383">
            <v>41183</v>
          </cell>
          <cell r="J383">
            <v>41760</v>
          </cell>
          <cell r="K383" t="str">
            <v>10</v>
          </cell>
          <cell r="L383">
            <v>43221</v>
          </cell>
          <cell r="M383">
            <v>41183</v>
          </cell>
          <cell r="N383">
            <v>41518</v>
          </cell>
          <cell r="O383">
            <v>41518</v>
          </cell>
          <cell r="P383">
            <v>53659</v>
          </cell>
          <cell r="Q383">
            <v>40817</v>
          </cell>
          <cell r="R383">
            <v>14</v>
          </cell>
          <cell r="S383">
            <v>41183</v>
          </cell>
          <cell r="T383" t="str">
            <v>Sin asignar</v>
          </cell>
          <cell r="U383" t="str">
            <v>Sin asignar</v>
          </cell>
          <cell r="V383" t="str">
            <v>Gerencia de Operaciones</v>
          </cell>
          <cell r="W383" t="str">
            <v>Sptcia. Operacion Mina</v>
          </cell>
          <cell r="X383" t="str">
            <v>Sptcia. Operacion Mina</v>
          </cell>
          <cell r="Y383" t="str">
            <v>Operativo</v>
          </cell>
          <cell r="Z383" t="str">
            <v>Indefinido</v>
          </cell>
        </row>
        <row r="384">
          <cell r="A384" t="str">
            <v>64343</v>
          </cell>
          <cell r="B384" t="str">
            <v>103739500</v>
          </cell>
          <cell r="C384" t="str">
            <v>INOSTROZA TAPIA CLAUDIO ANTONIO</v>
          </cell>
          <cell r="D384" t="str">
            <v>Operador Mina</v>
          </cell>
          <cell r="E384" t="str">
            <v>Oper. 7X7 12 Hrs TAB G04</v>
          </cell>
          <cell r="F384" t="str">
            <v>Masculino</v>
          </cell>
          <cell r="G384" t="str">
            <v>CINOS006@CODELCO.CL</v>
          </cell>
          <cell r="H384">
            <v>60</v>
          </cell>
          <cell r="I384">
            <v>41183</v>
          </cell>
          <cell r="J384">
            <v>39569</v>
          </cell>
          <cell r="K384" t="str">
            <v>10</v>
          </cell>
          <cell r="L384">
            <v>44682</v>
          </cell>
          <cell r="M384">
            <v>41183</v>
          </cell>
          <cell r="N384">
            <v>36008</v>
          </cell>
          <cell r="O384">
            <v>35613</v>
          </cell>
          <cell r="P384">
            <v>47848</v>
          </cell>
          <cell r="Q384">
            <v>40817</v>
          </cell>
          <cell r="R384">
            <v>14</v>
          </cell>
          <cell r="S384">
            <v>41183</v>
          </cell>
          <cell r="T384" t="str">
            <v>Sin asignar</v>
          </cell>
          <cell r="U384" t="str">
            <v>Sin asignar</v>
          </cell>
          <cell r="V384" t="str">
            <v>Gerencia de Operaciones</v>
          </cell>
          <cell r="W384" t="str">
            <v>Sptcia. Operacion Mina</v>
          </cell>
          <cell r="X384" t="str">
            <v>Sptcia. Operacion Mina</v>
          </cell>
          <cell r="Y384" t="str">
            <v>Operativo</v>
          </cell>
          <cell r="Z384" t="str">
            <v>Indefinido</v>
          </cell>
        </row>
        <row r="385">
          <cell r="A385" t="str">
            <v>64346</v>
          </cell>
          <cell r="B385" t="str">
            <v>150147638</v>
          </cell>
          <cell r="C385" t="str">
            <v>MONDACA BERNA LEDA MACARENA</v>
          </cell>
          <cell r="D385" t="str">
            <v>Geotecnico de Operaciones</v>
          </cell>
          <cell r="E385" t="str">
            <v>Oper. 7X7 12 Hrs TAB A06</v>
          </cell>
          <cell r="F385" t="str">
            <v>Femenino</v>
          </cell>
          <cell r="G385" t="str">
            <v>LMOND008@CODELCO.CL</v>
          </cell>
          <cell r="H385">
            <v>44</v>
          </cell>
          <cell r="I385">
            <v>41214</v>
          </cell>
          <cell r="J385">
            <v>43221</v>
          </cell>
          <cell r="K385" t="str">
            <v>7</v>
          </cell>
          <cell r="L385">
            <v>42491</v>
          </cell>
          <cell r="M385">
            <v>41214</v>
          </cell>
          <cell r="N385">
            <v>41313</v>
          </cell>
          <cell r="O385">
            <v>40947</v>
          </cell>
          <cell r="P385">
            <v>53887</v>
          </cell>
          <cell r="Q385">
            <v>41214</v>
          </cell>
          <cell r="R385">
            <v>14</v>
          </cell>
          <cell r="S385">
            <v>41214</v>
          </cell>
          <cell r="T385" t="str">
            <v>VARGAS ENCINA CAROLINA ALEJANDRA</v>
          </cell>
          <cell r="U385" t="str">
            <v>CVARG029@CODELCO.CL</v>
          </cell>
          <cell r="V385" t="str">
            <v>Gerencia de Recursos Mineros y Desarr</v>
          </cell>
          <cell r="W385" t="str">
            <v>Superintendencia de Geotecnia</v>
          </cell>
          <cell r="X385" t="str">
            <v>Superintendencia de Geotecnia</v>
          </cell>
          <cell r="Y385" t="str">
            <v>Profesional</v>
          </cell>
          <cell r="Z385" t="str">
            <v>Indefinido</v>
          </cell>
        </row>
        <row r="386">
          <cell r="A386" t="str">
            <v>64349</v>
          </cell>
          <cell r="B386" t="str">
            <v>124472261</v>
          </cell>
          <cell r="C386" t="str">
            <v>ROJAS MARAMBIO EDGARDO</v>
          </cell>
          <cell r="D386" t="str">
            <v>Ingeniero</v>
          </cell>
          <cell r="E386" t="str">
            <v>Prof. 4X3 12 hrs</v>
          </cell>
          <cell r="F386" t="str">
            <v>Masculino</v>
          </cell>
          <cell r="G386" t="str">
            <v>GROJA015@CODELCO.CL</v>
          </cell>
          <cell r="H386">
            <v>53</v>
          </cell>
          <cell r="I386">
            <v>40848</v>
          </cell>
          <cell r="J386">
            <v>45261</v>
          </cell>
          <cell r="K386" t="str">
            <v>#</v>
          </cell>
          <cell r="L386">
            <v>40848</v>
          </cell>
          <cell r="M386">
            <v>40848</v>
          </cell>
          <cell r="N386">
            <v>45126</v>
          </cell>
          <cell r="O386">
            <v>46041</v>
          </cell>
          <cell r="P386">
            <v>50658</v>
          </cell>
          <cell r="Q386">
            <v>40848</v>
          </cell>
          <cell r="R386">
            <v>15</v>
          </cell>
          <cell r="S386">
            <v>40848</v>
          </cell>
          <cell r="T386" t="str">
            <v>ALMEIDA JARA KATHERINE ALEJANDRA</v>
          </cell>
          <cell r="U386" t="str">
            <v>KALMEIDA@CODELCO.CL</v>
          </cell>
          <cell r="V386" t="str">
            <v>Gerencia de Recursos Mineros y Desarr</v>
          </cell>
          <cell r="W386" t="str">
            <v>Superintendencia Planificacion Planta</v>
          </cell>
          <cell r="X386" t="str">
            <v>Superintendencia Planificacion Planta</v>
          </cell>
          <cell r="Y386" t="str">
            <v>Profesional</v>
          </cell>
          <cell r="Z386" t="str">
            <v>Indefinido</v>
          </cell>
        </row>
        <row r="387">
          <cell r="A387" t="str">
            <v>64353</v>
          </cell>
          <cell r="B387" t="str">
            <v>135346209</v>
          </cell>
          <cell r="C387" t="str">
            <v>ARAYA VEGA LEONARDO ANTONIO</v>
          </cell>
          <cell r="D387" t="str">
            <v>Operador Planta AS</v>
          </cell>
          <cell r="E387" t="str">
            <v>Oper. 7X7 12 Hrs TAB G04</v>
          </cell>
          <cell r="F387" t="str">
            <v>Masculino</v>
          </cell>
          <cell r="G387" t="str">
            <v>LARAY038@CODELCO.CL</v>
          </cell>
          <cell r="H387">
            <v>47</v>
          </cell>
          <cell r="I387">
            <v>41091</v>
          </cell>
          <cell r="J387">
            <v>41350</v>
          </cell>
          <cell r="K387" t="str">
            <v>10</v>
          </cell>
          <cell r="L387">
            <v>44682</v>
          </cell>
          <cell r="M387">
            <v>41091</v>
          </cell>
          <cell r="N387">
            <v>41350</v>
          </cell>
          <cell r="O387">
            <v>41260</v>
          </cell>
          <cell r="P387">
            <v>52731</v>
          </cell>
          <cell r="Q387">
            <v>40868</v>
          </cell>
          <cell r="R387">
            <v>14</v>
          </cell>
          <cell r="S387">
            <v>41091</v>
          </cell>
          <cell r="T387" t="str">
            <v>VIDELA GONZALEZ HERNAN MARCELO</v>
          </cell>
          <cell r="U387" t="str">
            <v>HVIDELA@CODELCO.CL</v>
          </cell>
          <cell r="V387" t="str">
            <v>Gerencia de Operaciones</v>
          </cell>
          <cell r="W387" t="str">
            <v>Sptcia. Operacion Area Seca</v>
          </cell>
          <cell r="X387" t="str">
            <v>Sptcia. Operacion Area Seca</v>
          </cell>
          <cell r="Y387" t="str">
            <v>Operativo</v>
          </cell>
          <cell r="Z387" t="str">
            <v>Indefinido</v>
          </cell>
        </row>
        <row r="388">
          <cell r="A388" t="str">
            <v>64356</v>
          </cell>
          <cell r="B388" t="str">
            <v>168516916</v>
          </cell>
          <cell r="C388" t="str">
            <v>ARREDONDO OTAROLA RENE RUBEN</v>
          </cell>
          <cell r="D388" t="str">
            <v>Ingeniero de Despacho Mina</v>
          </cell>
          <cell r="E388" t="str">
            <v>Oper. 7X7 12 Hrs TAB G01</v>
          </cell>
          <cell r="F388" t="str">
            <v>Masculino</v>
          </cell>
          <cell r="G388" t="str">
            <v>RARRE001@CODELCO.CL</v>
          </cell>
          <cell r="H388">
            <v>38</v>
          </cell>
          <cell r="I388">
            <v>41183</v>
          </cell>
          <cell r="J388">
            <v>45778</v>
          </cell>
          <cell r="K388" t="str">
            <v>8</v>
          </cell>
          <cell r="L388">
            <v>45778</v>
          </cell>
          <cell r="M388">
            <v>41183</v>
          </cell>
          <cell r="N388">
            <v>45778</v>
          </cell>
          <cell r="O388">
            <v>45778</v>
          </cell>
          <cell r="P388">
            <v>55951</v>
          </cell>
          <cell r="Q388">
            <v>40862</v>
          </cell>
          <cell r="R388">
            <v>14</v>
          </cell>
          <cell r="S388">
            <v>45778</v>
          </cell>
          <cell r="T388" t="str">
            <v>VELIZ LOPEZ ERIC FELIPE PATRICIO</v>
          </cell>
          <cell r="U388" t="str">
            <v>EVELI007@CODELCO.CL</v>
          </cell>
          <cell r="V388" t="str">
            <v>Gerencia de Operaciones</v>
          </cell>
          <cell r="W388" t="str">
            <v>Sptcia. Ingenieria y Gestion Mina</v>
          </cell>
          <cell r="X388" t="str">
            <v>Sptcia. Ingenieria y Gestion Mina</v>
          </cell>
          <cell r="Y388" t="str">
            <v>Profesional</v>
          </cell>
          <cell r="Z388" t="str">
            <v>Indefinido</v>
          </cell>
        </row>
        <row r="389">
          <cell r="A389" t="str">
            <v>64358</v>
          </cell>
          <cell r="B389" t="str">
            <v>134588047</v>
          </cell>
          <cell r="C389" t="str">
            <v>CRUZ CASTILLO ALBERTO JUAN PABLO</v>
          </cell>
          <cell r="D389" t="str">
            <v>Operador Planta AH</v>
          </cell>
          <cell r="E389" t="str">
            <v>Oper. 7X7 12 Hrs TAB G02</v>
          </cell>
          <cell r="F389" t="str">
            <v>Masculino</v>
          </cell>
          <cell r="G389" t="str">
            <v>ACRUZ014@CODELCO.CL</v>
          </cell>
          <cell r="H389">
            <v>48</v>
          </cell>
          <cell r="I389">
            <v>40889</v>
          </cell>
          <cell r="J389">
            <v>41225</v>
          </cell>
          <cell r="K389" t="str">
            <v>10</v>
          </cell>
          <cell r="L389">
            <v>42186</v>
          </cell>
          <cell r="M389">
            <v>40889</v>
          </cell>
          <cell r="N389">
            <v>41225</v>
          </cell>
          <cell r="O389">
            <v>41225</v>
          </cell>
          <cell r="P389">
            <v>52520</v>
          </cell>
          <cell r="Q389">
            <v>40889</v>
          </cell>
          <cell r="R389">
            <v>15</v>
          </cell>
          <cell r="S389">
            <v>40889</v>
          </cell>
          <cell r="T389" t="str">
            <v>CORREA MENDOZA CAMILA</v>
          </cell>
          <cell r="U389" t="str">
            <v>CCORR014@CODELCO.CL</v>
          </cell>
          <cell r="V389" t="str">
            <v>Gerencia de Operaciones</v>
          </cell>
          <cell r="W389" t="str">
            <v>Sptcia. Operacion Area Hum.</v>
          </cell>
          <cell r="X389" t="str">
            <v>Sx Ew y Patio de Embarque</v>
          </cell>
          <cell r="Y389" t="str">
            <v>Operativo</v>
          </cell>
          <cell r="Z389" t="str">
            <v>Indefinido</v>
          </cell>
        </row>
        <row r="390">
          <cell r="A390" t="str">
            <v>64362</v>
          </cell>
          <cell r="B390" t="str">
            <v>181246138</v>
          </cell>
          <cell r="C390" t="str">
            <v>ARAYA PASTEN RUBEN ALEJANDRO</v>
          </cell>
          <cell r="D390" t="str">
            <v>Operador Planta AH</v>
          </cell>
          <cell r="E390" t="str">
            <v>Oper. 7X7 12 Hrs TAB G01</v>
          </cell>
          <cell r="F390" t="str">
            <v>Masculino</v>
          </cell>
          <cell r="G390" t="str">
            <v>RARAY056@CODELCO.CL</v>
          </cell>
          <cell r="H390">
            <v>34</v>
          </cell>
          <cell r="I390">
            <v>41306</v>
          </cell>
          <cell r="J390">
            <v>41332</v>
          </cell>
          <cell r="K390" t="str">
            <v>10</v>
          </cell>
          <cell r="L390">
            <v>43221</v>
          </cell>
          <cell r="M390">
            <v>41306</v>
          </cell>
          <cell r="N390">
            <v>41332</v>
          </cell>
          <cell r="O390">
            <v>40966</v>
          </cell>
          <cell r="P390">
            <v>57372</v>
          </cell>
          <cell r="Q390">
            <v>40883</v>
          </cell>
          <cell r="R390">
            <v>13</v>
          </cell>
          <cell r="S390">
            <v>41306</v>
          </cell>
          <cell r="T390" t="str">
            <v>ROJAS ESPINOZA MELISSA DEL CARMEN</v>
          </cell>
          <cell r="U390" t="str">
            <v>MROJA134@CODELCO.CL</v>
          </cell>
          <cell r="V390" t="str">
            <v>Gerencia de Operaciones</v>
          </cell>
          <cell r="W390" t="str">
            <v>Sptcia. Operacion Area Hum.</v>
          </cell>
          <cell r="X390" t="str">
            <v>Aglomeracion y Lixiviacion</v>
          </cell>
          <cell r="Y390" t="str">
            <v>Operativo</v>
          </cell>
          <cell r="Z390" t="str">
            <v>Indefinido</v>
          </cell>
        </row>
        <row r="391">
          <cell r="A391" t="str">
            <v>64363</v>
          </cell>
          <cell r="B391" t="str">
            <v>017132159K</v>
          </cell>
          <cell r="C391" t="str">
            <v>EVANS VERGARA CARLO ANDRES</v>
          </cell>
          <cell r="D391" t="str">
            <v>Ing. Especialista Op. y Mtto. Mina</v>
          </cell>
          <cell r="E391" t="str">
            <v>Prof. 4X3 12 hrs</v>
          </cell>
          <cell r="F391" t="str">
            <v>Masculino</v>
          </cell>
          <cell r="G391" t="str">
            <v>CEVANS@CODELCO.CL</v>
          </cell>
          <cell r="H391">
            <v>37</v>
          </cell>
          <cell r="I391">
            <v>44958</v>
          </cell>
          <cell r="J391">
            <v>45992</v>
          </cell>
          <cell r="K391" t="str">
            <v>7</v>
          </cell>
          <cell r="L391">
            <v>45992</v>
          </cell>
          <cell r="M391">
            <v>44958</v>
          </cell>
          <cell r="N391">
            <v>44958</v>
          </cell>
          <cell r="O391">
            <v>45992</v>
          </cell>
          <cell r="P391">
            <v>56241</v>
          </cell>
          <cell r="Q391">
            <v>41431</v>
          </cell>
          <cell r="R391">
            <v>3</v>
          </cell>
          <cell r="S391">
            <v>41431</v>
          </cell>
          <cell r="T391" t="str">
            <v>SARMIENTO RODRIGUEZ MARCOS</v>
          </cell>
          <cell r="U391" t="str">
            <v>MSARM001@CODELCO.CL</v>
          </cell>
          <cell r="V391" t="str">
            <v>Gerencia de Operaciones</v>
          </cell>
          <cell r="W391" t="str">
            <v>Sptcia. Operacion Mina</v>
          </cell>
          <cell r="X391" t="str">
            <v>Sptcia. Operacion Mina</v>
          </cell>
          <cell r="Y391" t="str">
            <v>Profesional</v>
          </cell>
          <cell r="Z391" t="str">
            <v>Indefinido</v>
          </cell>
        </row>
        <row r="392">
          <cell r="A392" t="str">
            <v>64364</v>
          </cell>
          <cell r="B392" t="str">
            <v>170927613</v>
          </cell>
          <cell r="C392" t="str">
            <v>BUGUEÑO CERENICH CARLOS ANDRES</v>
          </cell>
          <cell r="D392" t="str">
            <v>Operador Mina</v>
          </cell>
          <cell r="E392" t="str">
            <v>Oper. 7X7 12 Hrs TAB G04</v>
          </cell>
          <cell r="F392" t="str">
            <v>Masculino</v>
          </cell>
          <cell r="G392" t="str">
            <v>CBUGU011@CODELCO.CL</v>
          </cell>
          <cell r="H392">
            <v>38</v>
          </cell>
          <cell r="I392">
            <v>41067</v>
          </cell>
          <cell r="J392">
            <v>41225</v>
          </cell>
          <cell r="K392" t="str">
            <v>10</v>
          </cell>
          <cell r="L392">
            <v>44682</v>
          </cell>
          <cell r="M392">
            <v>41067</v>
          </cell>
          <cell r="N392">
            <v>41225</v>
          </cell>
          <cell r="O392">
            <v>41225</v>
          </cell>
          <cell r="P392">
            <v>56162</v>
          </cell>
          <cell r="Q392">
            <v>40883</v>
          </cell>
          <cell r="R392">
            <v>14</v>
          </cell>
          <cell r="S392">
            <v>41067</v>
          </cell>
          <cell r="T392" t="str">
            <v>Sin asignar</v>
          </cell>
          <cell r="U392" t="str">
            <v>Sin asignar</v>
          </cell>
          <cell r="V392" t="str">
            <v>Gerencia de Operaciones</v>
          </cell>
          <cell r="W392" t="str">
            <v>Sptcia. Operacion Mina</v>
          </cell>
          <cell r="X392" t="str">
            <v>Sptcia. Operacion Mina</v>
          </cell>
          <cell r="Y392" t="str">
            <v>Operativo</v>
          </cell>
          <cell r="Z392" t="str">
            <v>Indefinido</v>
          </cell>
        </row>
        <row r="393">
          <cell r="A393" t="str">
            <v>64366</v>
          </cell>
          <cell r="B393" t="str">
            <v>135313491</v>
          </cell>
          <cell r="C393" t="str">
            <v>LEDEZMA NUÑEZ DARWIN JAVIER</v>
          </cell>
          <cell r="D393" t="str">
            <v>Geometalurgista</v>
          </cell>
          <cell r="E393" t="str">
            <v>Prof. 4X3 12 hrs</v>
          </cell>
          <cell r="F393" t="str">
            <v>Masculino</v>
          </cell>
          <cell r="G393" t="str">
            <v>DLEDE001@CODELCO.CL</v>
          </cell>
          <cell r="H393">
            <v>47</v>
          </cell>
          <cell r="I393">
            <v>41214</v>
          </cell>
          <cell r="J393">
            <v>45170</v>
          </cell>
          <cell r="K393" t="str">
            <v>7</v>
          </cell>
          <cell r="L393">
            <v>45170</v>
          </cell>
          <cell r="M393">
            <v>41214</v>
          </cell>
          <cell r="N393">
            <v>45170</v>
          </cell>
          <cell r="O393">
            <v>45170</v>
          </cell>
          <cell r="P393">
            <v>52662</v>
          </cell>
          <cell r="Q393">
            <v>40896</v>
          </cell>
          <cell r="R393">
            <v>14</v>
          </cell>
          <cell r="S393">
            <v>41214</v>
          </cell>
          <cell r="T393" t="str">
            <v>NICOLAS VARGAS CLAUDIO ESTEBAN</v>
          </cell>
          <cell r="U393" t="str">
            <v>CNICOLAS@CODELCO.CL</v>
          </cell>
          <cell r="V393" t="str">
            <v>Gerencia de Recursos Mineros y Desarr</v>
          </cell>
          <cell r="W393" t="str">
            <v>Superintendencia Geologia</v>
          </cell>
          <cell r="X393" t="str">
            <v>Superintendencia Geologia</v>
          </cell>
          <cell r="Y393" t="str">
            <v>Profesional</v>
          </cell>
          <cell r="Z393" t="str">
            <v>Indefinido</v>
          </cell>
        </row>
        <row r="394">
          <cell r="A394" t="str">
            <v>64368</v>
          </cell>
          <cell r="B394" t="str">
            <v>012938798K</v>
          </cell>
          <cell r="C394" t="str">
            <v>BARRAZA VEAS RODRIGO DEL TRANSITO</v>
          </cell>
          <cell r="D394" t="str">
            <v>Operador Planta AS</v>
          </cell>
          <cell r="E394" t="str">
            <v>Oper. 7X7 12 Hrs TAB G02</v>
          </cell>
          <cell r="F394" t="str">
            <v>Masculino</v>
          </cell>
          <cell r="G394" t="str">
            <v>RBARR025@CODELCO.CL</v>
          </cell>
          <cell r="H394">
            <v>49</v>
          </cell>
          <cell r="I394">
            <v>40910</v>
          </cell>
          <cell r="J394">
            <v>45078</v>
          </cell>
          <cell r="K394" t="str">
            <v>10</v>
          </cell>
          <cell r="L394">
            <v>45078</v>
          </cell>
          <cell r="M394">
            <v>40910</v>
          </cell>
          <cell r="N394">
            <v>45078</v>
          </cell>
          <cell r="O394">
            <v>45078</v>
          </cell>
          <cell r="P394">
            <v>51707</v>
          </cell>
          <cell r="Q394">
            <v>40910</v>
          </cell>
          <cell r="R394">
            <v>14</v>
          </cell>
          <cell r="S394">
            <v>40910</v>
          </cell>
          <cell r="T394" t="str">
            <v>CASTILLO OROSTICA ADRIANO BALTAZAR</v>
          </cell>
          <cell r="U394" t="str">
            <v>ACAST080@CODELCO.CL</v>
          </cell>
          <cell r="V394" t="str">
            <v>Gerencia de Operaciones</v>
          </cell>
          <cell r="W394" t="str">
            <v>Sptcia. Operacion Area Seca</v>
          </cell>
          <cell r="X394" t="str">
            <v>Sptcia. Operacion Area Seca</v>
          </cell>
          <cell r="Y394" t="str">
            <v>Operativo</v>
          </cell>
          <cell r="Z394" t="str">
            <v>Indefinido</v>
          </cell>
        </row>
        <row r="395">
          <cell r="A395" t="str">
            <v>64369</v>
          </cell>
          <cell r="B395" t="str">
            <v>145759463</v>
          </cell>
          <cell r="C395" t="str">
            <v>PEREZ AVILA MARIO GUILLERMO</v>
          </cell>
          <cell r="D395" t="str">
            <v>Operador Planta AH</v>
          </cell>
          <cell r="E395" t="str">
            <v>Oper. 7X7 12 Hrs TAB G04</v>
          </cell>
          <cell r="F395" t="str">
            <v>Masculino</v>
          </cell>
          <cell r="G395" t="str">
            <v>MPERE058@CODELCO.CL</v>
          </cell>
          <cell r="H395">
            <v>46</v>
          </cell>
          <cell r="I395">
            <v>40910</v>
          </cell>
          <cell r="J395">
            <v>41883</v>
          </cell>
          <cell r="K395" t="str">
            <v>10</v>
          </cell>
          <cell r="L395">
            <v>44682</v>
          </cell>
          <cell r="M395">
            <v>40910</v>
          </cell>
          <cell r="N395">
            <v>41883</v>
          </cell>
          <cell r="O395">
            <v>41883</v>
          </cell>
          <cell r="P395">
            <v>53213</v>
          </cell>
          <cell r="Q395">
            <v>40910</v>
          </cell>
          <cell r="R395">
            <v>14</v>
          </cell>
          <cell r="S395">
            <v>40910</v>
          </cell>
          <cell r="T395" t="str">
            <v>CORREA MENDOZA CAMILA</v>
          </cell>
          <cell r="U395" t="str">
            <v>CCORR014@CODELCO.CL</v>
          </cell>
          <cell r="V395" t="str">
            <v>Gerencia de Operaciones</v>
          </cell>
          <cell r="W395" t="str">
            <v>Sptcia. Operacion Area Hum.</v>
          </cell>
          <cell r="X395" t="str">
            <v>Sx Ew y Patio de Embarque</v>
          </cell>
          <cell r="Y395" t="str">
            <v>Operativo</v>
          </cell>
          <cell r="Z395" t="str">
            <v>Indefinido</v>
          </cell>
        </row>
        <row r="396">
          <cell r="A396" t="str">
            <v>64373</v>
          </cell>
          <cell r="B396" t="str">
            <v>014535160K</v>
          </cell>
          <cell r="C396" t="str">
            <v>OPAZO GONZALEZ LUIS ALEXIS</v>
          </cell>
          <cell r="D396" t="str">
            <v>Instructor Mina</v>
          </cell>
          <cell r="E396" t="str">
            <v>Oper. 7X7 12 Hrs TAB A06</v>
          </cell>
          <cell r="F396" t="str">
            <v>Masculino</v>
          </cell>
          <cell r="G396" t="str">
            <v>LOPAZ001@CODELCO.CL</v>
          </cell>
          <cell r="H396">
            <v>45</v>
          </cell>
          <cell r="I396">
            <v>40945</v>
          </cell>
          <cell r="J396">
            <v>39569</v>
          </cell>
          <cell r="K396" t="str">
            <v>9</v>
          </cell>
          <cell r="L396">
            <v>42856</v>
          </cell>
          <cell r="M396">
            <v>40945</v>
          </cell>
          <cell r="N396">
            <v>36008</v>
          </cell>
          <cell r="O396">
            <v>35613</v>
          </cell>
          <cell r="P396">
            <v>53524</v>
          </cell>
          <cell r="Q396">
            <v>40945</v>
          </cell>
          <cell r="R396">
            <v>14</v>
          </cell>
          <cell r="S396">
            <v>40945</v>
          </cell>
          <cell r="T396" t="str">
            <v>Sin asignar</v>
          </cell>
          <cell r="U396" t="str">
            <v>Sin asignar</v>
          </cell>
          <cell r="V396" t="str">
            <v>Gerencia de Operaciones</v>
          </cell>
          <cell r="W396" t="str">
            <v>Sptcia. Ingenieria y Gestion Mina</v>
          </cell>
          <cell r="X396" t="str">
            <v>Sptcia. Ingenieria y Gestion Mina</v>
          </cell>
          <cell r="Y396" t="str">
            <v>Operativo</v>
          </cell>
          <cell r="Z396" t="str">
            <v>Indefinido</v>
          </cell>
        </row>
        <row r="397">
          <cell r="A397" t="str">
            <v>64374</v>
          </cell>
          <cell r="B397" t="str">
            <v>150176476</v>
          </cell>
          <cell r="C397" t="str">
            <v>DUBO CAMPUSANO JOHNNY ANTONIO</v>
          </cell>
          <cell r="D397" t="str">
            <v>Operador Mina</v>
          </cell>
          <cell r="E397" t="str">
            <v>Oper. 7X7 12 Hrs TAB G03</v>
          </cell>
          <cell r="F397" t="str">
            <v>Masculino</v>
          </cell>
          <cell r="G397" t="str">
            <v>JDUBO002@CODELCO.CL</v>
          </cell>
          <cell r="H397">
            <v>44</v>
          </cell>
          <cell r="I397">
            <v>41183</v>
          </cell>
          <cell r="J397">
            <v>43221</v>
          </cell>
          <cell r="K397" t="str">
            <v>10</v>
          </cell>
          <cell r="L397">
            <v>42186</v>
          </cell>
          <cell r="M397">
            <v>41183</v>
          </cell>
          <cell r="N397">
            <v>41313</v>
          </cell>
          <cell r="O397">
            <v>40947</v>
          </cell>
          <cell r="P397">
            <v>54006</v>
          </cell>
          <cell r="Q397">
            <v>40940</v>
          </cell>
          <cell r="R397">
            <v>14</v>
          </cell>
          <cell r="S397">
            <v>41183</v>
          </cell>
          <cell r="T397" t="str">
            <v>ZUMELZU BRAVO MARYLIN</v>
          </cell>
          <cell r="U397" t="str">
            <v>MZUME001@CODELCO.CL</v>
          </cell>
          <cell r="V397" t="str">
            <v>Gerencia de Operaciones</v>
          </cell>
          <cell r="W397" t="str">
            <v>Sptcia. Operacion Mina</v>
          </cell>
          <cell r="X397" t="str">
            <v>Sptcia. Operacion Mina</v>
          </cell>
          <cell r="Y397" t="str">
            <v>Operativo</v>
          </cell>
          <cell r="Z397" t="str">
            <v>Indefinido</v>
          </cell>
        </row>
        <row r="398">
          <cell r="A398" t="str">
            <v>64376</v>
          </cell>
          <cell r="B398" t="str">
            <v>83031042</v>
          </cell>
          <cell r="C398" t="str">
            <v>VILDOSOLA KARAPAS ISMAEL LEONIDAS</v>
          </cell>
          <cell r="D398" t="str">
            <v>Operador Mina</v>
          </cell>
          <cell r="E398" t="str">
            <v>Oper. 7X7 12 Hrs TAB G04</v>
          </cell>
          <cell r="F398" t="str">
            <v>Masculino</v>
          </cell>
          <cell r="G398" t="str">
            <v>IVILDOSO@CODELCO.CL</v>
          </cell>
          <cell r="H398">
            <v>65</v>
          </cell>
          <cell r="I398">
            <v>41122</v>
          </cell>
          <cell r="J398">
            <v>44837</v>
          </cell>
          <cell r="K398" t="str">
            <v>10</v>
          </cell>
          <cell r="L398">
            <v>41122</v>
          </cell>
          <cell r="M398">
            <v>41122</v>
          </cell>
          <cell r="N398">
            <v>40787</v>
          </cell>
          <cell r="O398">
            <v>40787</v>
          </cell>
          <cell r="P398">
            <v>45825</v>
          </cell>
          <cell r="Q398">
            <v>40953</v>
          </cell>
          <cell r="R398">
            <v>14</v>
          </cell>
          <cell r="S398">
            <v>41122</v>
          </cell>
          <cell r="T398" t="str">
            <v>Sin asignar</v>
          </cell>
          <cell r="U398" t="str">
            <v>Sin asignar</v>
          </cell>
          <cell r="V398" t="str">
            <v>Gerencia de Operaciones</v>
          </cell>
          <cell r="W398" t="str">
            <v>Sptcia. Operacion Mina</v>
          </cell>
          <cell r="X398" t="str">
            <v>Sptcia. Operacion Mina</v>
          </cell>
          <cell r="Y398" t="str">
            <v>Operativo</v>
          </cell>
          <cell r="Z398" t="str">
            <v>Indefinido</v>
          </cell>
        </row>
        <row r="399">
          <cell r="A399" t="str">
            <v>64377</v>
          </cell>
          <cell r="B399" t="str">
            <v>150335078</v>
          </cell>
          <cell r="C399" t="str">
            <v>LEYTON CORTES GERMAN ANDRES</v>
          </cell>
          <cell r="D399" t="str">
            <v>Operador Mina</v>
          </cell>
          <cell r="E399" t="str">
            <v>Oper. 7X7 12 Hrs TAB G02</v>
          </cell>
          <cell r="F399" t="str">
            <v>Masculino</v>
          </cell>
          <cell r="G399" t="str">
            <v>GLEYT003@CODELCO.CL</v>
          </cell>
          <cell r="H399">
            <v>43</v>
          </cell>
          <cell r="I399">
            <v>41183</v>
          </cell>
          <cell r="J399">
            <v>39569</v>
          </cell>
          <cell r="K399" t="str">
            <v>10</v>
          </cell>
          <cell r="L399">
            <v>43586</v>
          </cell>
          <cell r="M399">
            <v>41183</v>
          </cell>
          <cell r="N399">
            <v>36008</v>
          </cell>
          <cell r="O399">
            <v>35613</v>
          </cell>
          <cell r="P399">
            <v>30065</v>
          </cell>
          <cell r="Q399">
            <v>40953</v>
          </cell>
          <cell r="R399">
            <v>14</v>
          </cell>
          <cell r="S399">
            <v>41183</v>
          </cell>
          <cell r="T399" t="str">
            <v>ORTEGA ORTUYA CARLOS</v>
          </cell>
          <cell r="U399" t="str">
            <v>CORTE009@CODELCO.CL</v>
          </cell>
          <cell r="V399" t="str">
            <v>Gerencia de Operaciones</v>
          </cell>
          <cell r="W399" t="str">
            <v>Sptcia. Operacion Mina</v>
          </cell>
          <cell r="X399" t="str">
            <v>Sptcia. Operacion Mina</v>
          </cell>
          <cell r="Y399" t="str">
            <v>Operativo</v>
          </cell>
          <cell r="Z399" t="str">
            <v>Indefinido</v>
          </cell>
        </row>
        <row r="400">
          <cell r="A400" t="str">
            <v>64378</v>
          </cell>
          <cell r="B400" t="str">
            <v>129847336</v>
          </cell>
          <cell r="C400" t="str">
            <v>MEDINA SALAZAR FREDY ALEJANDRO</v>
          </cell>
          <cell r="D400" t="str">
            <v>Ingeniero Turno Mantenimiento A.H.</v>
          </cell>
          <cell r="E400" t="str">
            <v>Oper. 7X7 12 Hrs TAB G01</v>
          </cell>
          <cell r="F400" t="str">
            <v>Masculino</v>
          </cell>
          <cell r="G400" t="str">
            <v>FMEDI003@CODELCO.CL</v>
          </cell>
          <cell r="H400">
            <v>49</v>
          </cell>
          <cell r="I400">
            <v>40945</v>
          </cell>
          <cell r="J400">
            <v>45627</v>
          </cell>
          <cell r="K400" t="str">
            <v>8</v>
          </cell>
          <cell r="L400">
            <v>41883</v>
          </cell>
          <cell r="M400">
            <v>40945</v>
          </cell>
          <cell r="N400">
            <v>41132</v>
          </cell>
          <cell r="O400">
            <v>40766</v>
          </cell>
          <cell r="P400">
            <v>51642</v>
          </cell>
          <cell r="Q400">
            <v>40945</v>
          </cell>
          <cell r="R400">
            <v>14</v>
          </cell>
          <cell r="S400">
            <v>40945</v>
          </cell>
          <cell r="T400" t="str">
            <v>SILVA LARRAIN CESAR</v>
          </cell>
          <cell r="U400" t="str">
            <v>CSILV021@CODELCO.CL</v>
          </cell>
          <cell r="V400" t="str">
            <v>Gerencia de Mantenimiento</v>
          </cell>
          <cell r="W400" t="str">
            <v>Sptcia. Mtto. Area Humeda</v>
          </cell>
          <cell r="X400" t="str">
            <v>Sptcia. Mtto. Area Humeda</v>
          </cell>
          <cell r="Y400" t="str">
            <v>Profesional</v>
          </cell>
          <cell r="Z400" t="str">
            <v>Indefinido</v>
          </cell>
        </row>
        <row r="401">
          <cell r="A401" t="str">
            <v>64383</v>
          </cell>
          <cell r="B401" t="str">
            <v>104056539</v>
          </cell>
          <cell r="C401" t="str">
            <v>PEÑA DIAZ FREDY OSVALDO</v>
          </cell>
          <cell r="D401" t="str">
            <v>Operador Mina</v>
          </cell>
          <cell r="E401" t="str">
            <v>Oper. 7X7 12 Hrs TAB G03</v>
          </cell>
          <cell r="F401" t="str">
            <v>Masculino</v>
          </cell>
          <cell r="G401" t="str">
            <v>FPENA003@CODELCO.CL</v>
          </cell>
          <cell r="H401">
            <v>61</v>
          </cell>
          <cell r="I401">
            <v>40967</v>
          </cell>
          <cell r="J401">
            <v>43221</v>
          </cell>
          <cell r="K401" t="str">
            <v>10</v>
          </cell>
          <cell r="L401">
            <v>45778</v>
          </cell>
          <cell r="M401">
            <v>40967</v>
          </cell>
          <cell r="N401">
            <v>41313</v>
          </cell>
          <cell r="O401">
            <v>40947</v>
          </cell>
          <cell r="P401">
            <v>47672</v>
          </cell>
          <cell r="Q401">
            <v>40967</v>
          </cell>
          <cell r="R401">
            <v>14</v>
          </cell>
          <cell r="S401">
            <v>40967</v>
          </cell>
          <cell r="T401" t="str">
            <v>ZUMELZU BRAVO MARYLIN</v>
          </cell>
          <cell r="U401" t="str">
            <v>MZUME001@CODELCO.CL</v>
          </cell>
          <cell r="V401" t="str">
            <v>Gerencia de Operaciones</v>
          </cell>
          <cell r="W401" t="str">
            <v>Sptcia. Operacion Mina</v>
          </cell>
          <cell r="X401" t="str">
            <v>Sptcia. Operacion Mina</v>
          </cell>
          <cell r="Y401" t="str">
            <v>Operativo</v>
          </cell>
          <cell r="Z401" t="str">
            <v>Indefinido</v>
          </cell>
        </row>
        <row r="402">
          <cell r="A402" t="str">
            <v>64384</v>
          </cell>
          <cell r="B402" t="str">
            <v>117469212</v>
          </cell>
          <cell r="C402" t="str">
            <v>ELO MORAGA LUIS ALBERTO</v>
          </cell>
          <cell r="D402" t="str">
            <v>Operador Mina</v>
          </cell>
          <cell r="E402" t="str">
            <v>Oper. 7X7 12 Hrs TAB G02</v>
          </cell>
          <cell r="F402" t="str">
            <v>Masculino</v>
          </cell>
          <cell r="G402" t="str">
            <v>LELO@CODELCO.CL</v>
          </cell>
          <cell r="H402">
            <v>54</v>
          </cell>
          <cell r="I402">
            <v>41440</v>
          </cell>
          <cell r="J402">
            <v>41760</v>
          </cell>
          <cell r="K402" t="str">
            <v>10</v>
          </cell>
          <cell r="L402">
            <v>45413</v>
          </cell>
          <cell r="M402">
            <v>41440</v>
          </cell>
          <cell r="N402">
            <v>41518</v>
          </cell>
          <cell r="O402">
            <v>41518</v>
          </cell>
          <cell r="P402">
            <v>49908</v>
          </cell>
          <cell r="Q402">
            <v>41440</v>
          </cell>
          <cell r="R402">
            <v>13</v>
          </cell>
          <cell r="S402">
            <v>41440</v>
          </cell>
          <cell r="T402" t="str">
            <v>ORTEGA ORTUYA CARLOS</v>
          </cell>
          <cell r="U402" t="str">
            <v>CORTE009@CODELCO.CL</v>
          </cell>
          <cell r="V402" t="str">
            <v>Gerencia de Operaciones</v>
          </cell>
          <cell r="W402" t="str">
            <v>Sptcia. Operacion Mina</v>
          </cell>
          <cell r="X402" t="str">
            <v>Sptcia. Operacion Mina</v>
          </cell>
          <cell r="Y402" t="str">
            <v>Operativo</v>
          </cell>
          <cell r="Z402" t="str">
            <v>Indefinido</v>
          </cell>
        </row>
        <row r="403">
          <cell r="A403" t="str">
            <v>64385</v>
          </cell>
          <cell r="B403" t="str">
            <v>145636043</v>
          </cell>
          <cell r="C403" t="str">
            <v>LEIVA GALLEGUILLOS JOSE ALEJANDRO</v>
          </cell>
          <cell r="D403" t="str">
            <v>Operador Mina</v>
          </cell>
          <cell r="E403" t="str">
            <v>Oper. 7X7 12 Hrs TAB G04</v>
          </cell>
          <cell r="F403" t="str">
            <v>Masculino</v>
          </cell>
          <cell r="G403" t="str">
            <v>JLEIV013@CODELCO.CL</v>
          </cell>
          <cell r="H403">
            <v>45</v>
          </cell>
          <cell r="I403">
            <v>41183</v>
          </cell>
          <cell r="J403">
            <v>39569</v>
          </cell>
          <cell r="K403" t="str">
            <v>10</v>
          </cell>
          <cell r="L403">
            <v>43586</v>
          </cell>
          <cell r="M403">
            <v>41183</v>
          </cell>
          <cell r="N403">
            <v>36008</v>
          </cell>
          <cell r="O403">
            <v>35613</v>
          </cell>
          <cell r="P403">
            <v>53139</v>
          </cell>
          <cell r="Q403">
            <v>40967</v>
          </cell>
          <cell r="R403">
            <v>14</v>
          </cell>
          <cell r="S403">
            <v>41183</v>
          </cell>
          <cell r="T403" t="str">
            <v>Sin asignar</v>
          </cell>
          <cell r="U403" t="str">
            <v>Sin asignar</v>
          </cell>
          <cell r="V403" t="str">
            <v>Gerencia de Operaciones</v>
          </cell>
          <cell r="W403" t="str">
            <v>Sptcia. Operacion Mina</v>
          </cell>
          <cell r="X403" t="str">
            <v>Sptcia. Operacion Mina</v>
          </cell>
          <cell r="Y403" t="str">
            <v>Operativo</v>
          </cell>
          <cell r="Z403" t="str">
            <v>Indefinido</v>
          </cell>
        </row>
        <row r="404">
          <cell r="A404" t="str">
            <v>64386</v>
          </cell>
          <cell r="B404" t="str">
            <v>84402818</v>
          </cell>
          <cell r="C404" t="str">
            <v>TOLEDO ARACENA GINO HERNAN</v>
          </cell>
          <cell r="D404" t="str">
            <v>Operador Mina</v>
          </cell>
          <cell r="E404" t="str">
            <v>Oper. 7X7 12 Hrs TAB G03</v>
          </cell>
          <cell r="F404" t="str">
            <v>Masculino</v>
          </cell>
          <cell r="G404" t="str">
            <v>GTOLE006@CODELCO.CL</v>
          </cell>
          <cell r="H404">
            <v>65</v>
          </cell>
          <cell r="I404">
            <v>40967</v>
          </cell>
          <cell r="J404">
            <v>44837</v>
          </cell>
          <cell r="K404" t="str">
            <v>10</v>
          </cell>
          <cell r="L404">
            <v>43586</v>
          </cell>
          <cell r="M404">
            <v>40967</v>
          </cell>
          <cell r="N404">
            <v>40787</v>
          </cell>
          <cell r="O404">
            <v>40787</v>
          </cell>
          <cell r="P404">
            <v>47484</v>
          </cell>
          <cell r="Q404">
            <v>40967</v>
          </cell>
          <cell r="R404">
            <v>14</v>
          </cell>
          <cell r="S404">
            <v>40967</v>
          </cell>
          <cell r="T404" t="str">
            <v>Sin asignar</v>
          </cell>
          <cell r="U404" t="str">
            <v>Sin asignar</v>
          </cell>
          <cell r="V404" t="str">
            <v>Gerencia de Operaciones</v>
          </cell>
          <cell r="W404" t="str">
            <v>Sptcia. Operacion Mina</v>
          </cell>
          <cell r="X404" t="str">
            <v>Sptcia. Operacion Mina</v>
          </cell>
          <cell r="Y404" t="str">
            <v>Operativo</v>
          </cell>
          <cell r="Z404" t="str">
            <v>Indefinido</v>
          </cell>
        </row>
        <row r="405">
          <cell r="A405" t="str">
            <v>64390</v>
          </cell>
          <cell r="B405" t="str">
            <v>137538385</v>
          </cell>
          <cell r="C405" t="str">
            <v>RAMOS GALLARDO ARIEL RAMIRO</v>
          </cell>
          <cell r="D405" t="str">
            <v>Operador Mina</v>
          </cell>
          <cell r="E405" t="str">
            <v>Oper. 7X7 12 Hrs TAB G03</v>
          </cell>
          <cell r="F405" t="str">
            <v>Masculino</v>
          </cell>
          <cell r="G405" t="str">
            <v>ARAMO011@CODELCO.CL</v>
          </cell>
          <cell r="H405">
            <v>45</v>
          </cell>
          <cell r="I405">
            <v>41183</v>
          </cell>
          <cell r="J405">
            <v>43221</v>
          </cell>
          <cell r="K405" t="str">
            <v>10</v>
          </cell>
          <cell r="L405">
            <v>45413</v>
          </cell>
          <cell r="M405">
            <v>41183</v>
          </cell>
          <cell r="N405">
            <v>41313</v>
          </cell>
          <cell r="O405">
            <v>40947</v>
          </cell>
          <cell r="P405">
            <v>53265</v>
          </cell>
          <cell r="Q405">
            <v>40974</v>
          </cell>
          <cell r="R405">
            <v>14</v>
          </cell>
          <cell r="S405">
            <v>41183</v>
          </cell>
          <cell r="T405" t="str">
            <v>ZUMELZU BRAVO MARYLIN</v>
          </cell>
          <cell r="U405" t="str">
            <v>MZUME001@CODELCO.CL</v>
          </cell>
          <cell r="V405" t="str">
            <v>Gerencia de Operaciones</v>
          </cell>
          <cell r="W405" t="str">
            <v>Sptcia. Operacion Mina</v>
          </cell>
          <cell r="X405" t="str">
            <v>Sptcia. Operacion Mina</v>
          </cell>
          <cell r="Y405" t="str">
            <v>Operativo</v>
          </cell>
          <cell r="Z405" t="str">
            <v>Indefinido</v>
          </cell>
        </row>
        <row r="406">
          <cell r="A406" t="str">
            <v>64391</v>
          </cell>
          <cell r="B406" t="str">
            <v>138114066</v>
          </cell>
          <cell r="C406" t="str">
            <v>MELLADO SUAZO CRISTIAN ANDRES</v>
          </cell>
          <cell r="D406" t="str">
            <v>Operador Planta AS</v>
          </cell>
          <cell r="E406" t="str">
            <v>Oper. 7X7 12 Hrs TAB G02</v>
          </cell>
          <cell r="F406" t="str">
            <v>Masculino</v>
          </cell>
          <cell r="G406" t="str">
            <v>CMELL002@CODELCO.CL</v>
          </cell>
          <cell r="H406">
            <v>46</v>
          </cell>
          <cell r="I406">
            <v>40988</v>
          </cell>
          <cell r="J406">
            <v>42278</v>
          </cell>
          <cell r="K406" t="str">
            <v>10</v>
          </cell>
          <cell r="L406">
            <v>45778</v>
          </cell>
          <cell r="M406">
            <v>40988</v>
          </cell>
          <cell r="N406">
            <v>40397</v>
          </cell>
          <cell r="O406">
            <v>40032</v>
          </cell>
          <cell r="P406">
            <v>53120</v>
          </cell>
          <cell r="Q406">
            <v>40988</v>
          </cell>
          <cell r="R406">
            <v>14</v>
          </cell>
          <cell r="S406">
            <v>40988</v>
          </cell>
          <cell r="T406" t="str">
            <v>VILCA LLAVE ALBERT ANTONIO</v>
          </cell>
          <cell r="U406" t="str">
            <v>AVILC003@CODELCO.CL</v>
          </cell>
          <cell r="V406" t="str">
            <v>Gerencia de Operaciones</v>
          </cell>
          <cell r="W406" t="str">
            <v>Sptcia. Operacion Area Seca</v>
          </cell>
          <cell r="X406" t="str">
            <v>Sptcia. Operacion Area Seca</v>
          </cell>
          <cell r="Y406" t="str">
            <v>Operativo</v>
          </cell>
          <cell r="Z406" t="str">
            <v>Indefinido</v>
          </cell>
        </row>
        <row r="407">
          <cell r="A407" t="str">
            <v>64396</v>
          </cell>
          <cell r="B407" t="str">
            <v>168678533</v>
          </cell>
          <cell r="C407" t="str">
            <v>ALVARADO RUIZ PABLO ALEXANDER</v>
          </cell>
          <cell r="D407" t="str">
            <v>Operador Planta AH</v>
          </cell>
          <cell r="E407" t="str">
            <v>Oper. 7X7 12 Hrs TAB G03</v>
          </cell>
          <cell r="F407" t="str">
            <v>Masculino</v>
          </cell>
          <cell r="G407" t="str">
            <v>PALVA025@CODELCO.CL</v>
          </cell>
          <cell r="H407">
            <v>38</v>
          </cell>
          <cell r="I407">
            <v>41052</v>
          </cell>
          <cell r="J407">
            <v>35562</v>
          </cell>
          <cell r="K407" t="str">
            <v>10</v>
          </cell>
          <cell r="L407">
            <v>45413</v>
          </cell>
          <cell r="M407">
            <v>41052</v>
          </cell>
          <cell r="N407">
            <v>35562</v>
          </cell>
          <cell r="O407">
            <v>35562</v>
          </cell>
          <cell r="P407">
            <v>55813</v>
          </cell>
          <cell r="Q407">
            <v>41052</v>
          </cell>
          <cell r="R407">
            <v>13</v>
          </cell>
          <cell r="S407">
            <v>41052</v>
          </cell>
          <cell r="T407" t="str">
            <v>NAVARRO CARVAJAL JUAN FRANCISCO</v>
          </cell>
          <cell r="U407" t="str">
            <v>JNAVA020@CODELCO.CL</v>
          </cell>
          <cell r="V407" t="str">
            <v>Gerencia de Operaciones</v>
          </cell>
          <cell r="W407" t="str">
            <v>Sptcia. Operacion Area Hum.</v>
          </cell>
          <cell r="X407" t="str">
            <v>Aglomeracion y Lixiviacion</v>
          </cell>
          <cell r="Y407" t="str">
            <v>Operativo</v>
          </cell>
          <cell r="Z407" t="str">
            <v>Indefinido</v>
          </cell>
        </row>
        <row r="408">
          <cell r="A408" t="str">
            <v>64399</v>
          </cell>
          <cell r="B408" t="str">
            <v>138366375</v>
          </cell>
          <cell r="C408" t="str">
            <v>MOYA GUZMAN PABLO CESAR</v>
          </cell>
          <cell r="D408" t="str">
            <v>Operador Mayor Planta AH</v>
          </cell>
          <cell r="E408" t="str">
            <v>Oper. 7X7 12 Hrs TAB A05</v>
          </cell>
          <cell r="F408" t="str">
            <v>Masculino</v>
          </cell>
          <cell r="G408" t="str">
            <v>PMOYA005@CODELCO.CL</v>
          </cell>
          <cell r="H408">
            <v>46</v>
          </cell>
          <cell r="I408">
            <v>41065</v>
          </cell>
          <cell r="J408">
            <v>46054</v>
          </cell>
          <cell r="K408" t="str">
            <v>9</v>
          </cell>
          <cell r="L408">
            <v>46054</v>
          </cell>
          <cell r="M408">
            <v>41065</v>
          </cell>
          <cell r="N408">
            <v>45992</v>
          </cell>
          <cell r="O408">
            <v>45992</v>
          </cell>
          <cell r="P408">
            <v>53001</v>
          </cell>
          <cell r="Q408">
            <v>41065</v>
          </cell>
          <cell r="R408">
            <v>14</v>
          </cell>
          <cell r="S408">
            <v>41065</v>
          </cell>
          <cell r="T408" t="str">
            <v>SOTO MEJIAS ESTEBAN</v>
          </cell>
          <cell r="U408" t="str">
            <v>ESOTO018@CODELCO.CL</v>
          </cell>
          <cell r="V408" t="str">
            <v>Gerencia de Operaciones</v>
          </cell>
          <cell r="W408" t="str">
            <v>Sptcia. Operacion Area Hum.</v>
          </cell>
          <cell r="X408" t="str">
            <v>Aglomeracion y Lixiviacion</v>
          </cell>
          <cell r="Y408" t="str">
            <v>Operativo</v>
          </cell>
          <cell r="Z408" t="str">
            <v>Indefinido</v>
          </cell>
        </row>
        <row r="409">
          <cell r="A409" t="str">
            <v>64401</v>
          </cell>
          <cell r="B409" t="str">
            <v>149065474</v>
          </cell>
          <cell r="C409" t="str">
            <v>MIRANDA ANGEL CLAUDIO ANDRES</v>
          </cell>
          <cell r="D409" t="str">
            <v>Operador Mayor Planta AH</v>
          </cell>
          <cell r="E409" t="str">
            <v>Oper. 7X7 12 Hrs TAB A05</v>
          </cell>
          <cell r="F409" t="str">
            <v>Masculino</v>
          </cell>
          <cell r="G409" t="str">
            <v>CMIRA024@CODELCO.CL</v>
          </cell>
          <cell r="H409">
            <v>44</v>
          </cell>
          <cell r="I409">
            <v>41093</v>
          </cell>
          <cell r="J409">
            <v>35562</v>
          </cell>
          <cell r="K409" t="str">
            <v>#</v>
          </cell>
          <cell r="L409">
            <v>43221</v>
          </cell>
          <cell r="M409">
            <v>41093</v>
          </cell>
          <cell r="N409">
            <v>35562</v>
          </cell>
          <cell r="O409">
            <v>35562</v>
          </cell>
          <cell r="P409">
            <v>53567</v>
          </cell>
          <cell r="Q409">
            <v>41093</v>
          </cell>
          <cell r="R409">
            <v>14</v>
          </cell>
          <cell r="S409">
            <v>41093</v>
          </cell>
          <cell r="T409" t="str">
            <v>SOTO MEJIAS ESTEBAN</v>
          </cell>
          <cell r="U409" t="str">
            <v>ESOTO018@CODELCO.CL</v>
          </cell>
          <cell r="V409" t="str">
            <v>Gerencia de Operaciones</v>
          </cell>
          <cell r="W409" t="str">
            <v>Sptcia. Operacion Area Hum.</v>
          </cell>
          <cell r="X409" t="str">
            <v>Sptcia. Operacion Area Hum.</v>
          </cell>
          <cell r="Y409" t="str">
            <v>Operativo</v>
          </cell>
          <cell r="Z409" t="str">
            <v>Indefinido</v>
          </cell>
        </row>
        <row r="410">
          <cell r="A410" t="str">
            <v>64402</v>
          </cell>
          <cell r="B410" t="str">
            <v>150171113</v>
          </cell>
          <cell r="C410" t="str">
            <v>FLORES VENEGAS GUILLERMO EXEQUIEL</v>
          </cell>
          <cell r="D410" t="str">
            <v>Operador Planta AH</v>
          </cell>
          <cell r="E410" t="str">
            <v>Oper. 7X7 12 Hrs TAB G04</v>
          </cell>
          <cell r="F410" t="str">
            <v>Masculino</v>
          </cell>
          <cell r="G410" t="str">
            <v>GFLOR010@CODELCO.CL</v>
          </cell>
          <cell r="H410">
            <v>44</v>
          </cell>
          <cell r="I410">
            <v>41093</v>
          </cell>
          <cell r="J410">
            <v>35562</v>
          </cell>
          <cell r="K410" t="str">
            <v>10</v>
          </cell>
          <cell r="L410">
            <v>44682</v>
          </cell>
          <cell r="M410">
            <v>41093</v>
          </cell>
          <cell r="N410">
            <v>35562</v>
          </cell>
          <cell r="O410">
            <v>35562</v>
          </cell>
          <cell r="P410">
            <v>53773</v>
          </cell>
          <cell r="Q410">
            <v>41093</v>
          </cell>
          <cell r="R410">
            <v>14</v>
          </cell>
          <cell r="S410">
            <v>41093</v>
          </cell>
          <cell r="T410" t="str">
            <v>CORREA MENDOZA CAMILA</v>
          </cell>
          <cell r="U410" t="str">
            <v>CCORR014@CODELCO.CL</v>
          </cell>
          <cell r="V410" t="str">
            <v>Gerencia de Operaciones</v>
          </cell>
          <cell r="W410" t="str">
            <v>Sptcia. Operacion Area Hum.</v>
          </cell>
          <cell r="X410" t="str">
            <v>Aglomeracion y Lixiviacion</v>
          </cell>
          <cell r="Y410" t="str">
            <v>Operativo</v>
          </cell>
          <cell r="Z410" t="str">
            <v>Indefinido</v>
          </cell>
        </row>
        <row r="411">
          <cell r="A411" t="str">
            <v>64403</v>
          </cell>
          <cell r="B411" t="str">
            <v>144434242</v>
          </cell>
          <cell r="C411" t="str">
            <v>HUIDOBRO GONZALEZ ERIK GUSTAVO</v>
          </cell>
          <cell r="D411" t="str">
            <v>Operador Planta AH</v>
          </cell>
          <cell r="E411" t="str">
            <v>Oper. 7X7 12 Hrs TAB A06</v>
          </cell>
          <cell r="F411" t="str">
            <v>Masculino</v>
          </cell>
          <cell r="G411" t="str">
            <v>EHUID001@CODELCO.CL</v>
          </cell>
          <cell r="H411">
            <v>51</v>
          </cell>
          <cell r="I411">
            <v>41093</v>
          </cell>
          <cell r="J411">
            <v>35562</v>
          </cell>
          <cell r="K411" t="str">
            <v>10</v>
          </cell>
          <cell r="L411">
            <v>45413</v>
          </cell>
          <cell r="M411">
            <v>41093</v>
          </cell>
          <cell r="N411">
            <v>35562</v>
          </cell>
          <cell r="O411">
            <v>35562</v>
          </cell>
          <cell r="P411">
            <v>51266</v>
          </cell>
          <cell r="Q411">
            <v>41093</v>
          </cell>
          <cell r="R411">
            <v>14</v>
          </cell>
          <cell r="S411">
            <v>41093</v>
          </cell>
          <cell r="T411" t="str">
            <v>SOTO MEJIAS ESTEBAN</v>
          </cell>
          <cell r="U411" t="str">
            <v>ESOTO018@CODELCO.CL</v>
          </cell>
          <cell r="V411" t="str">
            <v>Gerencia de Operaciones</v>
          </cell>
          <cell r="W411" t="str">
            <v>Sptcia. Operacion Area Hum.</v>
          </cell>
          <cell r="X411" t="str">
            <v>Aglomeracion y Lixiviacion</v>
          </cell>
          <cell r="Y411" t="str">
            <v>Operativo</v>
          </cell>
          <cell r="Z411" t="str">
            <v>Indefinido</v>
          </cell>
        </row>
        <row r="412">
          <cell r="A412" t="str">
            <v>64404</v>
          </cell>
          <cell r="B412" t="str">
            <v>159822974</v>
          </cell>
          <cell r="C412" t="str">
            <v>RIVERA ARAVENA ANA LUISA</v>
          </cell>
          <cell r="D412" t="str">
            <v>Operador Planta AH</v>
          </cell>
          <cell r="E412" t="str">
            <v>Oper. 7X7 12 Hrs TAB G04</v>
          </cell>
          <cell r="F412" t="str">
            <v>Femenino</v>
          </cell>
          <cell r="G412" t="str">
            <v>ARIVE030@CODELCO.CL</v>
          </cell>
          <cell r="H412">
            <v>41</v>
          </cell>
          <cell r="I412">
            <v>41093</v>
          </cell>
          <cell r="J412">
            <v>41883</v>
          </cell>
          <cell r="K412" t="str">
            <v>10</v>
          </cell>
          <cell r="L412">
            <v>42186</v>
          </cell>
          <cell r="M412">
            <v>41093</v>
          </cell>
          <cell r="N412">
            <v>41883</v>
          </cell>
          <cell r="O412">
            <v>41883</v>
          </cell>
          <cell r="P412">
            <v>54876</v>
          </cell>
          <cell r="Q412">
            <v>41093</v>
          </cell>
          <cell r="R412">
            <v>14</v>
          </cell>
          <cell r="S412">
            <v>41093</v>
          </cell>
          <cell r="T412" t="str">
            <v>CORREA MENDOZA CAMILA</v>
          </cell>
          <cell r="U412" t="str">
            <v>CCORR014@CODELCO.CL</v>
          </cell>
          <cell r="V412" t="str">
            <v>Gerencia de Operaciones</v>
          </cell>
          <cell r="W412" t="str">
            <v>Sptcia. Operacion Area Hum.</v>
          </cell>
          <cell r="X412" t="str">
            <v>Sx Ew y Patio de Embarque</v>
          </cell>
          <cell r="Y412" t="str">
            <v>Operativo</v>
          </cell>
          <cell r="Z412" t="str">
            <v>Indefinido</v>
          </cell>
        </row>
        <row r="413">
          <cell r="A413" t="str">
            <v>64409</v>
          </cell>
          <cell r="B413" t="str">
            <v>013356585K</v>
          </cell>
          <cell r="C413" t="str">
            <v>CARVAJAL CASTILLO JAIME ALFREDO</v>
          </cell>
          <cell r="D413" t="str">
            <v>Ingeniero Planif. Mtto</v>
          </cell>
          <cell r="E413" t="str">
            <v>Prof. 4X3 12 hrs</v>
          </cell>
          <cell r="F413" t="str">
            <v>Masculino</v>
          </cell>
          <cell r="G413" t="str">
            <v>JCARV028@CODELCO.CL</v>
          </cell>
          <cell r="H413">
            <v>48</v>
          </cell>
          <cell r="I413">
            <v>41186</v>
          </cell>
          <cell r="J413">
            <v>45505</v>
          </cell>
          <cell r="K413" t="str">
            <v>#</v>
          </cell>
          <cell r="L413">
            <v>45505</v>
          </cell>
          <cell r="M413">
            <v>41186</v>
          </cell>
          <cell r="N413">
            <v>41306</v>
          </cell>
          <cell r="O413">
            <v>45505</v>
          </cell>
          <cell r="P413">
            <v>52270</v>
          </cell>
          <cell r="Q413">
            <v>41093</v>
          </cell>
          <cell r="R413">
            <v>14</v>
          </cell>
          <cell r="S413">
            <v>41186</v>
          </cell>
          <cell r="T413" t="str">
            <v>GALLEGOS DURAN RODRIGO BERNARDO</v>
          </cell>
          <cell r="U413" t="str">
            <v>RGALL047@CODELCO.CL</v>
          </cell>
          <cell r="V413" t="str">
            <v>Gerencia de Mantenimiento</v>
          </cell>
          <cell r="W413" t="str">
            <v>Sptcia. Planificacion Mantenimiento</v>
          </cell>
          <cell r="X413" t="str">
            <v>Sptcia. Planificacion Mantenimiento</v>
          </cell>
          <cell r="Y413" t="str">
            <v>Profesional</v>
          </cell>
          <cell r="Z413" t="str">
            <v>Indefinido</v>
          </cell>
        </row>
        <row r="414">
          <cell r="A414" t="str">
            <v>64423</v>
          </cell>
          <cell r="B414" t="str">
            <v>143863239</v>
          </cell>
          <cell r="C414" t="str">
            <v>DELGADO ESPEJO RODRIGO ANDRES</v>
          </cell>
          <cell r="D414" t="str">
            <v>Operador Planta AS</v>
          </cell>
          <cell r="E414" t="str">
            <v>Oper. 7X7 12 Hrs TAB G04</v>
          </cell>
          <cell r="F414" t="str">
            <v>Masculino</v>
          </cell>
          <cell r="G414" t="str">
            <v>RDELG008@CODELCO.CL</v>
          </cell>
          <cell r="H414">
            <v>48</v>
          </cell>
          <cell r="I414">
            <v>41128</v>
          </cell>
          <cell r="J414">
            <v>37256</v>
          </cell>
          <cell r="K414" t="str">
            <v>10</v>
          </cell>
          <cell r="L414">
            <v>44682</v>
          </cell>
          <cell r="M414">
            <v>41128</v>
          </cell>
          <cell r="N414">
            <v>37256</v>
          </cell>
          <cell r="O414">
            <v>37256</v>
          </cell>
          <cell r="P414">
            <v>52551</v>
          </cell>
          <cell r="Q414">
            <v>41128</v>
          </cell>
          <cell r="R414">
            <v>14</v>
          </cell>
          <cell r="S414">
            <v>41128</v>
          </cell>
          <cell r="T414" t="str">
            <v>ARAYA JAIME VALESKA</v>
          </cell>
          <cell r="U414" t="str">
            <v>VARAY013@CODELCO.CL</v>
          </cell>
          <cell r="V414" t="str">
            <v>Gerencia de Operaciones</v>
          </cell>
          <cell r="W414" t="str">
            <v>Sptcia. Operacion Area Seca</v>
          </cell>
          <cell r="X414" t="str">
            <v>Sptcia. Operacion Area Seca</v>
          </cell>
          <cell r="Y414" t="str">
            <v>Operativo</v>
          </cell>
          <cell r="Z414" t="str">
            <v>Indefinido</v>
          </cell>
        </row>
        <row r="415">
          <cell r="A415" t="str">
            <v>64426</v>
          </cell>
          <cell r="B415" t="str">
            <v>62046392</v>
          </cell>
          <cell r="C415" t="str">
            <v>NAVEA ANDRADE PEDRO ANTONIO</v>
          </cell>
          <cell r="D415" t="str">
            <v>Operador Mina</v>
          </cell>
          <cell r="E415" t="str">
            <v>Oper. 7X7 12 Hrs TAB G01</v>
          </cell>
          <cell r="F415" t="str">
            <v>Masculino</v>
          </cell>
          <cell r="G415" t="str">
            <v>PNAVE003@CODELCO.CL</v>
          </cell>
          <cell r="H415">
            <v>71</v>
          </cell>
          <cell r="I415">
            <v>41128</v>
          </cell>
          <cell r="J415">
            <v>37256</v>
          </cell>
          <cell r="K415" t="str">
            <v>10</v>
          </cell>
          <cell r="L415">
            <v>41128</v>
          </cell>
          <cell r="M415">
            <v>41128</v>
          </cell>
          <cell r="N415">
            <v>37256</v>
          </cell>
          <cell r="O415">
            <v>37256</v>
          </cell>
          <cell r="P415">
            <v>43645</v>
          </cell>
          <cell r="Q415">
            <v>41128</v>
          </cell>
          <cell r="R415">
            <v>14</v>
          </cell>
          <cell r="S415">
            <v>41128</v>
          </cell>
          <cell r="T415" t="str">
            <v>ICETA BAEZA ANTONIO</v>
          </cell>
          <cell r="U415" t="str">
            <v>AICETA@CODELCO.CL</v>
          </cell>
          <cell r="V415" t="str">
            <v>Gerencia de Operaciones</v>
          </cell>
          <cell r="W415" t="str">
            <v>Sptcia. Operacion Mina</v>
          </cell>
          <cell r="X415" t="str">
            <v>Sptcia. Operacion Mina</v>
          </cell>
          <cell r="Y415" t="str">
            <v>Operativo</v>
          </cell>
          <cell r="Z415" t="str">
            <v>Indefinido</v>
          </cell>
        </row>
        <row r="416">
          <cell r="A416" t="str">
            <v>64440</v>
          </cell>
          <cell r="B416" t="str">
            <v>012305024K</v>
          </cell>
          <cell r="C416" t="str">
            <v>LABLEE BENAVENTE JORGE OMAR</v>
          </cell>
          <cell r="D416" t="str">
            <v>Ingeniero Mantenimiento Ripios</v>
          </cell>
          <cell r="E416" t="str">
            <v>Oper. 7X7 12 Hrs TAB G01</v>
          </cell>
          <cell r="F416" t="str">
            <v>Masculino</v>
          </cell>
          <cell r="G416" t="str">
            <v>JLABLEE@CODELCO.CL</v>
          </cell>
          <cell r="H416">
            <v>53</v>
          </cell>
          <cell r="I416">
            <v>41334</v>
          </cell>
          <cell r="J416">
            <v>45627</v>
          </cell>
          <cell r="K416" t="str">
            <v>8</v>
          </cell>
          <cell r="L416">
            <v>43221</v>
          </cell>
          <cell r="M416">
            <v>41334</v>
          </cell>
          <cell r="N416">
            <v>41132</v>
          </cell>
          <cell r="O416">
            <v>40766</v>
          </cell>
          <cell r="P416">
            <v>50183</v>
          </cell>
          <cell r="Q416">
            <v>41156</v>
          </cell>
          <cell r="R416">
            <v>13</v>
          </cell>
          <cell r="S416">
            <v>41334</v>
          </cell>
          <cell r="T416" t="str">
            <v>GUTIÉRREZ VALENCIA JAVIERA PAZ</v>
          </cell>
          <cell r="U416" t="str">
            <v>JGUTI050@CODELCO.CL</v>
          </cell>
          <cell r="V416" t="str">
            <v>Gerencia de Mantenimiento</v>
          </cell>
          <cell r="W416" t="str">
            <v>Sptcia. Mtto. Area Seca</v>
          </cell>
          <cell r="X416" t="str">
            <v>Sptcia. Mtto. Area Seca</v>
          </cell>
          <cell r="Y416" t="str">
            <v>Profesional</v>
          </cell>
          <cell r="Z416" t="str">
            <v>Indefinido</v>
          </cell>
        </row>
        <row r="417">
          <cell r="A417" t="str">
            <v>64441</v>
          </cell>
          <cell r="B417" t="str">
            <v>170935373</v>
          </cell>
          <cell r="C417" t="str">
            <v>TAIPE GALLEGUILLOS DAVID ALEJANDRO</v>
          </cell>
          <cell r="D417" t="str">
            <v>Operador Planta AS</v>
          </cell>
          <cell r="E417" t="str">
            <v>Oper. 7X7 12 Hrs TAB G03</v>
          </cell>
          <cell r="F417" t="str">
            <v>Masculino</v>
          </cell>
          <cell r="G417" t="str">
            <v>DTAIPE@CODELCO.CL</v>
          </cell>
          <cell r="H417">
            <v>37</v>
          </cell>
          <cell r="I417">
            <v>41918</v>
          </cell>
          <cell r="J417">
            <v>41918</v>
          </cell>
          <cell r="K417" t="str">
            <v>10</v>
          </cell>
          <cell r="L417">
            <v>45413</v>
          </cell>
          <cell r="M417">
            <v>41918</v>
          </cell>
          <cell r="N417">
            <v>41918</v>
          </cell>
          <cell r="O417">
            <v>41918</v>
          </cell>
          <cell r="P417">
            <v>56250</v>
          </cell>
          <cell r="Q417">
            <v>41918</v>
          </cell>
          <cell r="R417">
            <v>12</v>
          </cell>
          <cell r="S417">
            <v>41918</v>
          </cell>
          <cell r="T417" t="str">
            <v>ARAYA JAIME VALESKA</v>
          </cell>
          <cell r="U417" t="str">
            <v>VARAY013@CODELCO.CL</v>
          </cell>
          <cell r="V417" t="str">
            <v>Gerencia de Operaciones</v>
          </cell>
          <cell r="W417" t="str">
            <v>Sptcia. Operacion Area Seca</v>
          </cell>
          <cell r="X417" t="str">
            <v>Sptcia. Operacion Area Seca</v>
          </cell>
          <cell r="Y417" t="str">
            <v>Operativo</v>
          </cell>
          <cell r="Z417" t="str">
            <v>Indefinido</v>
          </cell>
        </row>
        <row r="418">
          <cell r="A418" t="str">
            <v>64446</v>
          </cell>
          <cell r="B418" t="str">
            <v>117358372</v>
          </cell>
          <cell r="C418" t="str">
            <v>CONCHA JELDES PEDRO MANUEL</v>
          </cell>
          <cell r="D418" t="str">
            <v>Ing. Mtto. Hidráulico Ripios</v>
          </cell>
          <cell r="E418" t="str">
            <v>Oper. 7X7 12 Hrs TAB G02</v>
          </cell>
          <cell r="F418" t="str">
            <v>Masculino</v>
          </cell>
          <cell r="G418" t="str">
            <v>PCONC005@CODELCO.CL</v>
          </cell>
          <cell r="H418">
            <v>54</v>
          </cell>
          <cell r="I418">
            <v>41852</v>
          </cell>
          <cell r="J418">
            <v>45627</v>
          </cell>
          <cell r="K418" t="str">
            <v>#</v>
          </cell>
          <cell r="L418">
            <v>42856</v>
          </cell>
          <cell r="M418">
            <v>41852</v>
          </cell>
          <cell r="N418">
            <v>41132</v>
          </cell>
          <cell r="O418">
            <v>40766</v>
          </cell>
          <cell r="P418">
            <v>49937</v>
          </cell>
          <cell r="Q418">
            <v>41184</v>
          </cell>
          <cell r="R418">
            <v>12</v>
          </cell>
          <cell r="S418">
            <v>41852</v>
          </cell>
          <cell r="T418" t="str">
            <v>GUTIÉRREZ VALENCIA JAVIERA PAZ</v>
          </cell>
          <cell r="U418" t="str">
            <v>JGUTI050@CODELCO.CL</v>
          </cell>
          <cell r="V418" t="str">
            <v>Gerencia de Mantenimiento</v>
          </cell>
          <cell r="W418" t="str">
            <v>Sptcia. Mtto. Area Seca</v>
          </cell>
          <cell r="X418" t="str">
            <v>Sptcia. Mtto. Area Seca</v>
          </cell>
          <cell r="Y418" t="str">
            <v>Profesional</v>
          </cell>
          <cell r="Z418" t="str">
            <v>Indefinido</v>
          </cell>
        </row>
        <row r="419">
          <cell r="A419" t="str">
            <v>64457</v>
          </cell>
          <cell r="B419" t="str">
            <v>118907981</v>
          </cell>
          <cell r="C419" t="str">
            <v>GOMEZ RIQUELME MANUEL JESUS</v>
          </cell>
          <cell r="D419" t="str">
            <v>Operador Planta AS</v>
          </cell>
          <cell r="E419" t="str">
            <v>Oper. 7X7 12 Hrs TAB G02</v>
          </cell>
          <cell r="F419" t="str">
            <v>Masculino</v>
          </cell>
          <cell r="G419" t="str">
            <v>MGOME028@CODELCO.CL</v>
          </cell>
          <cell r="H419">
            <v>55</v>
          </cell>
          <cell r="I419">
            <v>41219</v>
          </cell>
          <cell r="J419">
            <v>41332</v>
          </cell>
          <cell r="K419" t="str">
            <v>10</v>
          </cell>
          <cell r="L419">
            <v>42186</v>
          </cell>
          <cell r="M419">
            <v>41219</v>
          </cell>
          <cell r="N419">
            <v>41332</v>
          </cell>
          <cell r="O419">
            <v>40966</v>
          </cell>
          <cell r="P419">
            <v>49952</v>
          </cell>
          <cell r="Q419">
            <v>41219</v>
          </cell>
          <cell r="R419">
            <v>14</v>
          </cell>
          <cell r="S419">
            <v>41219</v>
          </cell>
          <cell r="T419" t="str">
            <v>AGUILERA PÉREZ JOSÉ ALFREDO</v>
          </cell>
          <cell r="U419" t="str">
            <v>JAGUI067@CODELCO.CL</v>
          </cell>
          <cell r="V419" t="str">
            <v>Gerencia de Operaciones</v>
          </cell>
          <cell r="W419" t="str">
            <v>Sptcia. Operacion Area Seca</v>
          </cell>
          <cell r="X419" t="str">
            <v>Sptcia. Operacion Area Seca</v>
          </cell>
          <cell r="Y419" t="str">
            <v>Operativo</v>
          </cell>
          <cell r="Z419" t="str">
            <v>Indefinido</v>
          </cell>
        </row>
        <row r="420">
          <cell r="A420" t="str">
            <v>64459</v>
          </cell>
          <cell r="B420" t="str">
            <v>140060550</v>
          </cell>
          <cell r="C420" t="str">
            <v>SANTELICES CORTES CARLOS ALEXIS</v>
          </cell>
          <cell r="D420" t="str">
            <v>Analista Calidad</v>
          </cell>
          <cell r="E420" t="str">
            <v>Oper. 7X7 12 Hrs TAB A06</v>
          </cell>
          <cell r="F420" t="str">
            <v>Masculino</v>
          </cell>
          <cell r="G420" t="str">
            <v>CSANTELI@CODELCO.CL</v>
          </cell>
          <cell r="H420">
            <v>45</v>
          </cell>
          <cell r="I420">
            <v>41233</v>
          </cell>
          <cell r="J420">
            <v>43070</v>
          </cell>
          <cell r="K420" t="str">
            <v>9</v>
          </cell>
          <cell r="L420">
            <v>44682</v>
          </cell>
          <cell r="M420">
            <v>41233</v>
          </cell>
          <cell r="N420">
            <v>41426</v>
          </cell>
          <cell r="O420">
            <v>41426</v>
          </cell>
          <cell r="P420">
            <v>53333</v>
          </cell>
          <cell r="Q420">
            <v>41233</v>
          </cell>
          <cell r="R420">
            <v>13</v>
          </cell>
          <cell r="S420">
            <v>41233</v>
          </cell>
          <cell r="T420" t="str">
            <v>NUÑEZ SILVA DANIELA VIVIANA</v>
          </cell>
          <cell r="U420" t="str">
            <v>DNUNE006@CODELCO.CL</v>
          </cell>
          <cell r="V420" t="str">
            <v>Gerencia de Recursos Mineros y Desarr</v>
          </cell>
          <cell r="W420" t="str">
            <v>Superintendencia Planificacion Planta</v>
          </cell>
          <cell r="X420" t="str">
            <v>Superintendencia Planificacion Planta</v>
          </cell>
          <cell r="Y420" t="str">
            <v>Operativo</v>
          </cell>
          <cell r="Z420" t="str">
            <v>Indefinido</v>
          </cell>
        </row>
        <row r="421">
          <cell r="A421" t="str">
            <v>64501</v>
          </cell>
          <cell r="B421" t="str">
            <v>119324866</v>
          </cell>
          <cell r="C421" t="str">
            <v>COLQUE ANZA HUMBERTO PATRICIO</v>
          </cell>
          <cell r="D421" t="str">
            <v>Operador Planta AH</v>
          </cell>
          <cell r="E421" t="str">
            <v>Oper. 7X7 12 Hrs TAB G03</v>
          </cell>
          <cell r="F421" t="str">
            <v>Masculino</v>
          </cell>
          <cell r="G421" t="str">
            <v>HCOLQUE@CODELCO.CL</v>
          </cell>
          <cell r="H421">
            <v>53</v>
          </cell>
          <cell r="I421">
            <v>39356</v>
          </cell>
          <cell r="J421">
            <v>41918</v>
          </cell>
          <cell r="K421" t="str">
            <v>10</v>
          </cell>
          <cell r="L421">
            <v>41760</v>
          </cell>
          <cell r="M421">
            <v>39356</v>
          </cell>
          <cell r="N421">
            <v>41918</v>
          </cell>
          <cell r="O421">
            <v>41918</v>
          </cell>
          <cell r="P421">
            <v>50334</v>
          </cell>
          <cell r="Q421">
            <v>39356</v>
          </cell>
          <cell r="R421">
            <v>19</v>
          </cell>
          <cell r="S421">
            <v>39356</v>
          </cell>
          <cell r="T421" t="str">
            <v>NAVARRO CARVAJAL JUAN FRANCISCO</v>
          </cell>
          <cell r="U421" t="str">
            <v>JNAVA020@CODELCO.CL</v>
          </cell>
          <cell r="V421" t="str">
            <v>Gerencia de Operaciones</v>
          </cell>
          <cell r="W421" t="str">
            <v>Sptcia. Operacion Area Hum.</v>
          </cell>
          <cell r="X421" t="str">
            <v>Sx Ew y Patio de Embarque</v>
          </cell>
          <cell r="Y421" t="str">
            <v>Operativo</v>
          </cell>
          <cell r="Z421" t="str">
            <v>Indefinido</v>
          </cell>
        </row>
        <row r="422">
          <cell r="A422" t="str">
            <v>64711</v>
          </cell>
          <cell r="B422" t="str">
            <v>146081061</v>
          </cell>
          <cell r="C422" t="str">
            <v>POBLETE ESPINOZA FRANCISCO JAVIER</v>
          </cell>
          <cell r="D422" t="str">
            <v>Ing. Especialista Op. Chanc. y Apilam.</v>
          </cell>
          <cell r="E422" t="str">
            <v>Prof. 4X3 12 hrs</v>
          </cell>
          <cell r="F422" t="str">
            <v>Masculino</v>
          </cell>
          <cell r="G422" t="str">
            <v>FPOBL005@CODELCO.CL</v>
          </cell>
          <cell r="H422">
            <v>45</v>
          </cell>
          <cell r="I422">
            <v>41261</v>
          </cell>
          <cell r="J422">
            <v>42917</v>
          </cell>
          <cell r="K422" t="str">
            <v>6</v>
          </cell>
          <cell r="L422">
            <v>42491</v>
          </cell>
          <cell r="M422">
            <v>41261</v>
          </cell>
          <cell r="N422">
            <v>44319</v>
          </cell>
          <cell r="O422">
            <v>44319</v>
          </cell>
          <cell r="P422">
            <v>53458</v>
          </cell>
          <cell r="Q422">
            <v>41261</v>
          </cell>
          <cell r="R422">
            <v>13</v>
          </cell>
          <cell r="S422">
            <v>41261</v>
          </cell>
          <cell r="T422" t="str">
            <v>LAU Olmos EDUARDO</v>
          </cell>
          <cell r="U422" t="str">
            <v>ELAU@CODELCO.CL</v>
          </cell>
          <cell r="V422" t="str">
            <v>Gerencia de Operaciones</v>
          </cell>
          <cell r="W422" t="str">
            <v>Sptcia. Operacion Area Seca</v>
          </cell>
          <cell r="X422" t="str">
            <v>Sptcia. Operacion Area Seca</v>
          </cell>
          <cell r="Y422" t="str">
            <v>Profesional</v>
          </cell>
          <cell r="Z422" t="str">
            <v>Indefinido</v>
          </cell>
        </row>
        <row r="423">
          <cell r="A423" t="str">
            <v>64713</v>
          </cell>
          <cell r="B423" t="str">
            <v>015617078K</v>
          </cell>
          <cell r="C423" t="str">
            <v>MORAN VALLEJOS CRISTIAN ANDRES</v>
          </cell>
          <cell r="D423" t="str">
            <v>Operador Planta AH</v>
          </cell>
          <cell r="E423" t="str">
            <v>Oper. 7X7 12 Hrs TAB G04</v>
          </cell>
          <cell r="F423" t="str">
            <v>Masculino</v>
          </cell>
          <cell r="G423" t="str">
            <v>CMORA050@CODELCO.CL</v>
          </cell>
          <cell r="H423">
            <v>41</v>
          </cell>
          <cell r="I423">
            <v>41247</v>
          </cell>
          <cell r="J423">
            <v>44531</v>
          </cell>
          <cell r="K423" t="str">
            <v>10</v>
          </cell>
          <cell r="L423">
            <v>43221</v>
          </cell>
          <cell r="M423">
            <v>41247</v>
          </cell>
          <cell r="N423">
            <v>44531</v>
          </cell>
          <cell r="O423">
            <v>44531</v>
          </cell>
          <cell r="P423">
            <v>54631</v>
          </cell>
          <cell r="Q423">
            <v>41247</v>
          </cell>
          <cell r="R423">
            <v>14</v>
          </cell>
          <cell r="S423">
            <v>41247</v>
          </cell>
          <cell r="T423" t="str">
            <v>CORREA MENDOZA CAMILA</v>
          </cell>
          <cell r="U423" t="str">
            <v>CCORR014@CODELCO.CL</v>
          </cell>
          <cell r="V423" t="str">
            <v>Gerencia de Operaciones</v>
          </cell>
          <cell r="W423" t="str">
            <v>Sptcia. Operacion Area Hum.</v>
          </cell>
          <cell r="X423" t="str">
            <v>Sx Ew y Patio de Embarque</v>
          </cell>
          <cell r="Y423" t="str">
            <v>Operativo</v>
          </cell>
          <cell r="Z423" t="str">
            <v>Indefinido</v>
          </cell>
        </row>
        <row r="424">
          <cell r="A424" t="str">
            <v>64753</v>
          </cell>
          <cell r="B424" t="str">
            <v>016432429K</v>
          </cell>
          <cell r="C424" t="str">
            <v>ALVARADO ROMERO ADRIAN</v>
          </cell>
          <cell r="D424" t="str">
            <v>Jefe Unidad Suministros</v>
          </cell>
          <cell r="E424" t="str">
            <v>Prof. 4X3 12 hrs</v>
          </cell>
          <cell r="F424" t="str">
            <v>Masculino</v>
          </cell>
          <cell r="G424" t="str">
            <v>AALVA034@CODELCO.CL</v>
          </cell>
          <cell r="H424">
            <v>41</v>
          </cell>
          <cell r="I424">
            <v>41276</v>
          </cell>
          <cell r="J424">
            <v>45950</v>
          </cell>
          <cell r="K424" t="str">
            <v>6</v>
          </cell>
          <cell r="L424">
            <v>45597</v>
          </cell>
          <cell r="M424">
            <v>41276</v>
          </cell>
          <cell r="N424">
            <v>45950</v>
          </cell>
          <cell r="O424">
            <v>45950</v>
          </cell>
          <cell r="P424">
            <v>54804</v>
          </cell>
          <cell r="Q424">
            <v>41276</v>
          </cell>
          <cell r="R424">
            <v>13</v>
          </cell>
          <cell r="S424">
            <v>41276</v>
          </cell>
          <cell r="T424" t="str">
            <v>FUENTEALBA OCAMPOS MAURICIO ALEJANDRO</v>
          </cell>
          <cell r="U424" t="str">
            <v>MFUEN028@CODELCO.CL</v>
          </cell>
          <cell r="V424" t="str">
            <v>Gerencia de Administración</v>
          </cell>
          <cell r="W424" t="str">
            <v>Supte. Proyectos, Infra. y Suministros</v>
          </cell>
          <cell r="X424" t="str">
            <v>Supte. Proyectos, Infra. y Suministros</v>
          </cell>
          <cell r="Y424" t="str">
            <v>Profesional</v>
          </cell>
          <cell r="Z424" t="str">
            <v>Indefinido</v>
          </cell>
        </row>
        <row r="425">
          <cell r="A425" t="str">
            <v>64755</v>
          </cell>
          <cell r="B425" t="str">
            <v>144214331</v>
          </cell>
          <cell r="C425" t="str">
            <v>CRUCES AGUILERA EDUARDO ELOY</v>
          </cell>
          <cell r="D425" t="str">
            <v>Especialista Operativo Perf. y Tronadura</v>
          </cell>
          <cell r="E425" t="str">
            <v>Oper. 7X7 12 Hrs TAB A05</v>
          </cell>
          <cell r="F425" t="str">
            <v>Masculino</v>
          </cell>
          <cell r="G425" t="str">
            <v>ECRUCES@CODELCO.CL</v>
          </cell>
          <cell r="H425">
            <v>53</v>
          </cell>
          <cell r="I425">
            <v>41365</v>
          </cell>
          <cell r="J425">
            <v>41918</v>
          </cell>
          <cell r="K425" t="str">
            <v>9</v>
          </cell>
          <cell r="L425">
            <v>41276</v>
          </cell>
          <cell r="M425">
            <v>41365</v>
          </cell>
          <cell r="N425">
            <v>41918</v>
          </cell>
          <cell r="O425">
            <v>41918</v>
          </cell>
          <cell r="P425">
            <v>50532</v>
          </cell>
          <cell r="Q425">
            <v>41276</v>
          </cell>
          <cell r="R425">
            <v>13</v>
          </cell>
          <cell r="S425">
            <v>41365</v>
          </cell>
          <cell r="T425" t="str">
            <v>TOBAR BUSTAMANTE ESTEFANY ANDREA</v>
          </cell>
          <cell r="U425" t="str">
            <v>ETOBA005@CODELCO.CL</v>
          </cell>
          <cell r="V425" t="str">
            <v>Gerencia de Operaciones</v>
          </cell>
          <cell r="W425" t="str">
            <v>Sptcia. Operacion Mina</v>
          </cell>
          <cell r="X425" t="str">
            <v>Sptcia. Operacion Mina</v>
          </cell>
          <cell r="Y425" t="str">
            <v>Operativo</v>
          </cell>
          <cell r="Z425" t="str">
            <v>Indefinido</v>
          </cell>
        </row>
        <row r="426">
          <cell r="A426" t="str">
            <v>65231</v>
          </cell>
          <cell r="B426" t="str">
            <v>150146208</v>
          </cell>
          <cell r="C426" t="str">
            <v>VERGARA CRUZ RICARDO</v>
          </cell>
          <cell r="D426" t="str">
            <v>Ingeniero Confiabilidad</v>
          </cell>
          <cell r="E426" t="str">
            <v>Prof. 4X3 12 hrs</v>
          </cell>
          <cell r="F426" t="str">
            <v>Masculino</v>
          </cell>
          <cell r="G426" t="str">
            <v>RVERG013@CODELCO.CL</v>
          </cell>
          <cell r="H426">
            <v>43</v>
          </cell>
          <cell r="I426">
            <v>45880</v>
          </cell>
          <cell r="J426">
            <v>45880</v>
          </cell>
          <cell r="K426" t="str">
            <v>#</v>
          </cell>
          <cell r="L426">
            <v>45880</v>
          </cell>
          <cell r="M426">
            <v>45880</v>
          </cell>
          <cell r="N426">
            <v>45880</v>
          </cell>
          <cell r="O426">
            <v>45880</v>
          </cell>
          <cell r="P426">
            <v>53864</v>
          </cell>
          <cell r="Q426">
            <v>45880</v>
          </cell>
          <cell r="R426">
            <v>1</v>
          </cell>
          <cell r="S426">
            <v>45880</v>
          </cell>
          <cell r="T426" t="str">
            <v>HEMMELMANN FUENTES NATHALIE</v>
          </cell>
          <cell r="U426" t="str">
            <v>NHEMM001@CODELCO.CL</v>
          </cell>
          <cell r="V426" t="str">
            <v>Gerencia de Mantenimiento</v>
          </cell>
          <cell r="W426" t="str">
            <v>Superintendencia de Confiabilidad</v>
          </cell>
          <cell r="X426" t="str">
            <v>Superintendencia de Confiabilidad</v>
          </cell>
          <cell r="Y426" t="str">
            <v>Profesional</v>
          </cell>
          <cell r="Z426" t="str">
            <v>Indefinido</v>
          </cell>
        </row>
        <row r="427">
          <cell r="A427" t="str">
            <v>65232</v>
          </cell>
          <cell r="B427" t="str">
            <v>79510351</v>
          </cell>
          <cell r="C427" t="str">
            <v>AGUIRRE CASTRO EUGENIO GREGORIO</v>
          </cell>
          <cell r="D427" t="str">
            <v>Especialista Correas</v>
          </cell>
          <cell r="E427" t="str">
            <v>Oper. 7X7 12 Hrs TAB A05</v>
          </cell>
          <cell r="F427" t="str">
            <v>Masculino</v>
          </cell>
          <cell r="G427" t="str">
            <v>EAGUI027@CODELCO.CL</v>
          </cell>
          <cell r="H427">
            <v>67</v>
          </cell>
          <cell r="I427">
            <v>41379</v>
          </cell>
          <cell r="J427">
            <v>45748</v>
          </cell>
          <cell r="K427" t="str">
            <v>8</v>
          </cell>
          <cell r="L427">
            <v>44774</v>
          </cell>
          <cell r="M427">
            <v>41379</v>
          </cell>
          <cell r="N427">
            <v>39140</v>
          </cell>
          <cell r="O427">
            <v>38775</v>
          </cell>
          <cell r="P427">
            <v>45611</v>
          </cell>
          <cell r="Q427">
            <v>41379</v>
          </cell>
          <cell r="R427">
            <v>13</v>
          </cell>
          <cell r="S427">
            <v>41379</v>
          </cell>
          <cell r="T427" t="str">
            <v>DELGADO CASTILLO SEBASTIÁN FELIPE</v>
          </cell>
          <cell r="U427" t="str">
            <v>SDELG003@CODELCO.CL</v>
          </cell>
          <cell r="V427" t="str">
            <v>Gerencia de Mantenimiento</v>
          </cell>
          <cell r="W427" t="str">
            <v>Superintendencia de Confiabilidad</v>
          </cell>
          <cell r="X427" t="str">
            <v>Superintendencia de Confiabilidad</v>
          </cell>
          <cell r="Y427" t="str">
            <v>Profesional</v>
          </cell>
          <cell r="Z427" t="str">
            <v>Indefinido</v>
          </cell>
        </row>
        <row r="428">
          <cell r="A428" t="str">
            <v>65236</v>
          </cell>
          <cell r="B428" t="str">
            <v>113335645</v>
          </cell>
          <cell r="C428" t="str">
            <v>RAMOS BORQUEZ OSVALDO ALEJANDRO</v>
          </cell>
          <cell r="D428" t="str">
            <v>Ingeniero Mtto. Chancado y Apilam.</v>
          </cell>
          <cell r="E428" t="str">
            <v>Oper. 7X7 12 Hrs TAB A06</v>
          </cell>
          <cell r="F428" t="str">
            <v>Masculino</v>
          </cell>
          <cell r="G428" t="str">
            <v>ORAMO001@CODELCO.CL</v>
          </cell>
          <cell r="H428">
            <v>57</v>
          </cell>
          <cell r="I428">
            <v>41379</v>
          </cell>
          <cell r="J428">
            <v>45536</v>
          </cell>
          <cell r="K428" t="str">
            <v>8</v>
          </cell>
          <cell r="L428">
            <v>42186</v>
          </cell>
          <cell r="M428">
            <v>41379</v>
          </cell>
          <cell r="N428">
            <v>42644</v>
          </cell>
          <cell r="O428">
            <v>42644</v>
          </cell>
          <cell r="P428">
            <v>48760</v>
          </cell>
          <cell r="Q428">
            <v>41379</v>
          </cell>
          <cell r="R428">
            <v>13</v>
          </cell>
          <cell r="S428">
            <v>41379</v>
          </cell>
          <cell r="T428" t="str">
            <v>GUTIÉRREZ VALENCIA JAVIERA PAZ</v>
          </cell>
          <cell r="U428" t="str">
            <v>JGUTI050@CODELCO.CL</v>
          </cell>
          <cell r="V428" t="str">
            <v>Gerencia de Mantenimiento</v>
          </cell>
          <cell r="W428" t="str">
            <v>Sptcia. Mtto. Area Seca</v>
          </cell>
          <cell r="X428" t="str">
            <v>Sptcia. Mtto. Area Seca</v>
          </cell>
          <cell r="Y428" t="str">
            <v>Profesional</v>
          </cell>
          <cell r="Z428" t="str">
            <v>Indefinido</v>
          </cell>
        </row>
        <row r="429">
          <cell r="A429" t="str">
            <v>65414</v>
          </cell>
          <cell r="B429" t="str">
            <v>175304835</v>
          </cell>
          <cell r="C429" t="str">
            <v>FUENTES PIMENTAL ANDREA PAOLA</v>
          </cell>
          <cell r="D429" t="str">
            <v>Operador Planta AS</v>
          </cell>
          <cell r="E429" t="str">
            <v>Oper. 7X7 12 Hrs TAB G03</v>
          </cell>
          <cell r="F429" t="str">
            <v>Femenino</v>
          </cell>
          <cell r="G429" t="str">
            <v>AFUEN019@CODELCO.CL</v>
          </cell>
          <cell r="H429">
            <v>35</v>
          </cell>
          <cell r="I429">
            <v>44837</v>
          </cell>
          <cell r="J429">
            <v>44837</v>
          </cell>
          <cell r="K429" t="str">
            <v>10</v>
          </cell>
          <cell r="L429">
            <v>44896</v>
          </cell>
          <cell r="M429">
            <v>44837</v>
          </cell>
          <cell r="N429">
            <v>44837</v>
          </cell>
          <cell r="O429">
            <v>44837</v>
          </cell>
          <cell r="P429">
            <v>55090</v>
          </cell>
          <cell r="Q429">
            <v>44837</v>
          </cell>
          <cell r="R429">
            <v>4</v>
          </cell>
          <cell r="S429">
            <v>44896</v>
          </cell>
          <cell r="T429" t="str">
            <v>VILCA LLAVE ALBERT ANTONIO</v>
          </cell>
          <cell r="U429" t="str">
            <v>AVILC003@CODELCO.CL</v>
          </cell>
          <cell r="V429" t="str">
            <v>Gerencia de Operaciones</v>
          </cell>
          <cell r="W429" t="str">
            <v>Sptcia. Operacion Area Seca</v>
          </cell>
          <cell r="X429" t="str">
            <v>Sptcia. Operacion Area Seca</v>
          </cell>
          <cell r="Y429" t="str">
            <v>Operativo</v>
          </cell>
          <cell r="Z429" t="str">
            <v>Indefinido</v>
          </cell>
        </row>
        <row r="430">
          <cell r="A430" t="str">
            <v>65742</v>
          </cell>
          <cell r="B430" t="str">
            <v>116975882</v>
          </cell>
          <cell r="C430" t="str">
            <v>OSORIO OSORIO MANUEL JESUS</v>
          </cell>
          <cell r="D430" t="str">
            <v>Operador Mina</v>
          </cell>
          <cell r="E430" t="str">
            <v>Oper. 7X7 12 Hrs TAB G01</v>
          </cell>
          <cell r="F430" t="str">
            <v>Masculino</v>
          </cell>
          <cell r="G430" t="str">
            <v>MOSOR010@CODELCO.CL</v>
          </cell>
          <cell r="H430">
            <v>54</v>
          </cell>
          <cell r="I430">
            <v>43507</v>
          </cell>
          <cell r="J430">
            <v>43507</v>
          </cell>
          <cell r="K430" t="str">
            <v>10</v>
          </cell>
          <cell r="L430">
            <v>43709</v>
          </cell>
          <cell r="M430">
            <v>43507</v>
          </cell>
          <cell r="N430">
            <v>43709</v>
          </cell>
          <cell r="O430">
            <v>43507</v>
          </cell>
          <cell r="P430">
            <v>49945</v>
          </cell>
          <cell r="Q430">
            <v>41428</v>
          </cell>
          <cell r="R430">
            <v>7</v>
          </cell>
          <cell r="S430">
            <v>43709</v>
          </cell>
          <cell r="T430" t="str">
            <v>ICETA BAEZA ANTONIO</v>
          </cell>
          <cell r="U430" t="str">
            <v>AICETA@CODELCO.CL</v>
          </cell>
          <cell r="V430" t="str">
            <v>Gerencia de Operaciones</v>
          </cell>
          <cell r="W430" t="str">
            <v>Sptcia. Operacion Mina</v>
          </cell>
          <cell r="X430" t="str">
            <v>Sptcia. Operacion Mina</v>
          </cell>
          <cell r="Y430" t="str">
            <v>Operativo</v>
          </cell>
          <cell r="Z430" t="str">
            <v>Indefinido</v>
          </cell>
        </row>
        <row r="431">
          <cell r="A431" t="str">
            <v>65961</v>
          </cell>
          <cell r="B431" t="str">
            <v>134746734</v>
          </cell>
          <cell r="C431" t="str">
            <v>ICETA BAEZA ANTONIO</v>
          </cell>
          <cell r="D431" t="str">
            <v>Ingeniero Turno Operaciones Mina</v>
          </cell>
          <cell r="E431" t="str">
            <v>Oper. 7X7 12 Hrs TAB G01</v>
          </cell>
          <cell r="F431" t="str">
            <v>Masculino</v>
          </cell>
          <cell r="G431" t="str">
            <v>AICETA@CODELCO.CL</v>
          </cell>
          <cell r="H431">
            <v>49</v>
          </cell>
          <cell r="I431">
            <v>45733</v>
          </cell>
          <cell r="J431">
            <v>45733</v>
          </cell>
          <cell r="K431" t="str">
            <v>#</v>
          </cell>
          <cell r="L431">
            <v>45733</v>
          </cell>
          <cell r="M431">
            <v>45733</v>
          </cell>
          <cell r="N431">
            <v>45733</v>
          </cell>
          <cell r="O431">
            <v>45733</v>
          </cell>
          <cell r="P431">
            <v>51831</v>
          </cell>
          <cell r="Q431">
            <v>0</v>
          </cell>
          <cell r="R431">
            <v>1</v>
          </cell>
          <cell r="S431">
            <v>45733</v>
          </cell>
          <cell r="T431" t="str">
            <v>EVANS VERGARA CARLO ANDRES</v>
          </cell>
          <cell r="U431" t="str">
            <v>CEVANS@CODELCO.CL</v>
          </cell>
          <cell r="V431" t="str">
            <v>Gerencia de Operaciones</v>
          </cell>
          <cell r="W431" t="str">
            <v>Sptcia. Operacion Mina</v>
          </cell>
          <cell r="X431" t="str">
            <v>Sptcia. Operacion Mina</v>
          </cell>
          <cell r="Y431" t="str">
            <v>Profesional</v>
          </cell>
          <cell r="Z431" t="str">
            <v>Indefinido</v>
          </cell>
        </row>
        <row r="432">
          <cell r="A432" t="str">
            <v>66064</v>
          </cell>
          <cell r="B432" t="str">
            <v>99097469</v>
          </cell>
          <cell r="C432" t="str">
            <v>ARAYA PEREZ LUIS ALEJANDRO</v>
          </cell>
          <cell r="D432" t="str">
            <v>Instructor Mina</v>
          </cell>
          <cell r="E432" t="str">
            <v>Oper. 7X7 12 Hrs TAB A05</v>
          </cell>
          <cell r="F432" t="str">
            <v>Masculino</v>
          </cell>
          <cell r="G432" t="str">
            <v>LARAY039@CODELCO.CL</v>
          </cell>
          <cell r="H432">
            <v>59</v>
          </cell>
          <cell r="I432">
            <v>41589</v>
          </cell>
          <cell r="J432">
            <v>42278</v>
          </cell>
          <cell r="K432" t="str">
            <v>9</v>
          </cell>
          <cell r="L432">
            <v>45413</v>
          </cell>
          <cell r="M432">
            <v>41589</v>
          </cell>
          <cell r="N432">
            <v>41684</v>
          </cell>
          <cell r="O432">
            <v>41319</v>
          </cell>
          <cell r="P432">
            <v>48559</v>
          </cell>
          <cell r="Q432">
            <v>41596</v>
          </cell>
          <cell r="R432">
            <v>13</v>
          </cell>
          <cell r="S432">
            <v>41589</v>
          </cell>
          <cell r="T432" t="str">
            <v>Sin asignar</v>
          </cell>
          <cell r="U432" t="str">
            <v>Sin asignar</v>
          </cell>
          <cell r="V432" t="str">
            <v>Gerencia de Operaciones</v>
          </cell>
          <cell r="W432" t="str">
            <v>Sptcia. Ingenieria y Gestion Mina</v>
          </cell>
          <cell r="X432" t="str">
            <v>Sptcia. Ingenieria y Gestion Mina</v>
          </cell>
          <cell r="Y432" t="str">
            <v>Operativo</v>
          </cell>
          <cell r="Z432" t="str">
            <v>Indefinido</v>
          </cell>
        </row>
        <row r="433">
          <cell r="A433" t="str">
            <v>66065</v>
          </cell>
          <cell r="B433" t="str">
            <v>117232905</v>
          </cell>
          <cell r="C433" t="str">
            <v>BUGUEÑO PAEZ LUIS OMAR</v>
          </cell>
          <cell r="D433" t="str">
            <v>Operador Mina</v>
          </cell>
          <cell r="E433" t="str">
            <v>Oper. 7X7 12 Hrs TAB G02</v>
          </cell>
          <cell r="F433" t="str">
            <v>Masculino</v>
          </cell>
          <cell r="G433" t="str">
            <v>LBUGU001@CODELCO.CL</v>
          </cell>
          <cell r="H433">
            <v>55</v>
          </cell>
          <cell r="I433">
            <v>41589</v>
          </cell>
          <cell r="J433">
            <v>44837</v>
          </cell>
          <cell r="K433" t="str">
            <v>10</v>
          </cell>
          <cell r="L433">
            <v>43586</v>
          </cell>
          <cell r="M433">
            <v>41589</v>
          </cell>
          <cell r="N433">
            <v>40787</v>
          </cell>
          <cell r="O433">
            <v>40787</v>
          </cell>
          <cell r="P433">
            <v>49993</v>
          </cell>
          <cell r="Q433">
            <v>41596</v>
          </cell>
          <cell r="R433">
            <v>13</v>
          </cell>
          <cell r="S433">
            <v>41589</v>
          </cell>
          <cell r="T433" t="str">
            <v>ORTEGA ORTUYA CARLOS</v>
          </cell>
          <cell r="U433" t="str">
            <v>CORTE009@CODELCO.CL</v>
          </cell>
          <cell r="V433" t="str">
            <v>Gerencia de Operaciones</v>
          </cell>
          <cell r="W433" t="str">
            <v>Sptcia. Operacion Mina</v>
          </cell>
          <cell r="X433" t="str">
            <v>Sptcia. Operacion Mina</v>
          </cell>
          <cell r="Y433" t="str">
            <v>Operativo</v>
          </cell>
          <cell r="Z433" t="str">
            <v>Indefinido</v>
          </cell>
        </row>
        <row r="434">
          <cell r="A434" t="str">
            <v>66067</v>
          </cell>
          <cell r="B434" t="str">
            <v>83930233</v>
          </cell>
          <cell r="C434" t="str">
            <v>FERNANDEZ ALVAREZ ROBERTO CARLOS</v>
          </cell>
          <cell r="D434" t="str">
            <v>Operador Mina</v>
          </cell>
          <cell r="E434" t="str">
            <v>Oper. 7X7 12 Hrs TAB G03</v>
          </cell>
          <cell r="F434" t="str">
            <v>Masculino</v>
          </cell>
          <cell r="G434" t="str">
            <v>RFERN029@CODELCO.CL</v>
          </cell>
          <cell r="H434">
            <v>56</v>
          </cell>
          <cell r="I434">
            <v>41596</v>
          </cell>
          <cell r="J434">
            <v>42278</v>
          </cell>
          <cell r="K434" t="str">
            <v>10</v>
          </cell>
          <cell r="L434">
            <v>43586</v>
          </cell>
          <cell r="M434">
            <v>41596</v>
          </cell>
          <cell r="N434">
            <v>41684</v>
          </cell>
          <cell r="O434">
            <v>41319</v>
          </cell>
          <cell r="P434">
            <v>49650</v>
          </cell>
          <cell r="Q434">
            <v>41596</v>
          </cell>
          <cell r="R434">
            <v>12</v>
          </cell>
          <cell r="S434">
            <v>41596</v>
          </cell>
          <cell r="T434" t="str">
            <v>ZUMELZU BRAVO MARYLIN</v>
          </cell>
          <cell r="U434" t="str">
            <v>MZUME001@CODELCO.CL</v>
          </cell>
          <cell r="V434" t="str">
            <v>Gerencia de Operaciones</v>
          </cell>
          <cell r="W434" t="str">
            <v>Sptcia. Operacion Mina</v>
          </cell>
          <cell r="X434" t="str">
            <v>Sptcia. Operacion Mina</v>
          </cell>
          <cell r="Y434" t="str">
            <v>Operativo</v>
          </cell>
          <cell r="Z434" t="str">
            <v>Indefinido</v>
          </cell>
        </row>
        <row r="435">
          <cell r="A435" t="str">
            <v>66068</v>
          </cell>
          <cell r="B435" t="str">
            <v>133646825</v>
          </cell>
          <cell r="C435" t="str">
            <v>ARREDONDO BORQUEZ CRISTIAN ALEXIS</v>
          </cell>
          <cell r="D435" t="str">
            <v>Operador Mina</v>
          </cell>
          <cell r="E435" t="str">
            <v>Oper. 7X7 12 Hrs TAB G01</v>
          </cell>
          <cell r="F435" t="str">
            <v>Masculino</v>
          </cell>
          <cell r="G435" t="str">
            <v>CARRE006@CODELCO.CL</v>
          </cell>
          <cell r="H435">
            <v>47</v>
          </cell>
          <cell r="I435">
            <v>41596</v>
          </cell>
          <cell r="J435">
            <v>43891</v>
          </cell>
          <cell r="K435" t="str">
            <v>10</v>
          </cell>
          <cell r="L435">
            <v>45413</v>
          </cell>
          <cell r="M435">
            <v>41596</v>
          </cell>
          <cell r="N435">
            <v>41548</v>
          </cell>
          <cell r="O435">
            <v>41548</v>
          </cell>
          <cell r="P435">
            <v>52342</v>
          </cell>
          <cell r="Q435">
            <v>41596</v>
          </cell>
          <cell r="R435">
            <v>12</v>
          </cell>
          <cell r="S435">
            <v>41596</v>
          </cell>
          <cell r="T435" t="str">
            <v>ICETA BAEZA ANTONIO</v>
          </cell>
          <cell r="U435" t="str">
            <v>AICETA@CODELCO.CL</v>
          </cell>
          <cell r="V435" t="str">
            <v>Gerencia de Operaciones</v>
          </cell>
          <cell r="W435" t="str">
            <v>Sptcia. Operacion Mina</v>
          </cell>
          <cell r="X435" t="str">
            <v>Sptcia. Operacion Mina</v>
          </cell>
          <cell r="Y435" t="str">
            <v>Operativo</v>
          </cell>
          <cell r="Z435" t="str">
            <v>Indefinido</v>
          </cell>
        </row>
        <row r="436">
          <cell r="A436" t="str">
            <v>66713</v>
          </cell>
          <cell r="B436" t="str">
            <v>170776348</v>
          </cell>
          <cell r="C436" t="str">
            <v>VASQUEZ CID CHRISTIAN ANDRES</v>
          </cell>
          <cell r="D436" t="str">
            <v>Operador Mayor Mina</v>
          </cell>
          <cell r="E436" t="str">
            <v>Oper. 7X7 12 Hrs TAB G04</v>
          </cell>
          <cell r="F436" t="str">
            <v>Masculino</v>
          </cell>
          <cell r="G436" t="str">
            <v>CVASQ038@CODELCO.CL</v>
          </cell>
          <cell r="H436">
            <v>37</v>
          </cell>
          <cell r="I436">
            <v>41883</v>
          </cell>
          <cell r="J436">
            <v>44835</v>
          </cell>
          <cell r="K436" t="str">
            <v>9</v>
          </cell>
          <cell r="L436">
            <v>45778</v>
          </cell>
          <cell r="M436">
            <v>41883</v>
          </cell>
          <cell r="N436">
            <v>44900</v>
          </cell>
          <cell r="O436">
            <v>44900</v>
          </cell>
          <cell r="P436">
            <v>56126</v>
          </cell>
          <cell r="Q436">
            <v>41673</v>
          </cell>
          <cell r="R436">
            <v>12</v>
          </cell>
          <cell r="S436">
            <v>41883</v>
          </cell>
          <cell r="T436" t="str">
            <v>Sin asignar</v>
          </cell>
          <cell r="U436" t="str">
            <v>Sin asignar</v>
          </cell>
          <cell r="V436" t="str">
            <v>Gerencia de Operaciones</v>
          </cell>
          <cell r="W436" t="str">
            <v>Sptcia. Operacion Mina</v>
          </cell>
          <cell r="X436" t="str">
            <v>Sptcia. Operacion Mina</v>
          </cell>
          <cell r="Y436" t="str">
            <v>Operativo</v>
          </cell>
          <cell r="Z436" t="str">
            <v>Indefinido</v>
          </cell>
        </row>
        <row r="437">
          <cell r="A437" t="str">
            <v>66715</v>
          </cell>
          <cell r="B437" t="str">
            <v>150142830</v>
          </cell>
          <cell r="C437" t="str">
            <v>SOZA BUSTON CESAR SANTOS</v>
          </cell>
          <cell r="D437" t="str">
            <v>Analista Geomensor</v>
          </cell>
          <cell r="E437" t="str">
            <v>Oper. 7X7 12 Hrs TAB A05</v>
          </cell>
          <cell r="F437" t="str">
            <v>Masculino</v>
          </cell>
          <cell r="G437" t="str">
            <v>CSOZA001@CODELCO.CL</v>
          </cell>
          <cell r="H437">
            <v>44</v>
          </cell>
          <cell r="I437">
            <v>41760</v>
          </cell>
          <cell r="J437">
            <v>44531</v>
          </cell>
          <cell r="K437" t="str">
            <v>9</v>
          </cell>
          <cell r="L437">
            <v>45597</v>
          </cell>
          <cell r="M437">
            <v>41760</v>
          </cell>
          <cell r="N437">
            <v>44531</v>
          </cell>
          <cell r="O437">
            <v>44531</v>
          </cell>
          <cell r="P437">
            <v>53844</v>
          </cell>
          <cell r="Q437">
            <v>41671</v>
          </cell>
          <cell r="R437">
            <v>12</v>
          </cell>
          <cell r="S437">
            <v>41760</v>
          </cell>
          <cell r="T437" t="str">
            <v>Sin asignar</v>
          </cell>
          <cell r="U437" t="str">
            <v>Sin asignar</v>
          </cell>
          <cell r="V437" t="str">
            <v>Gerencia de Recursos Mineros y Desarr</v>
          </cell>
          <cell r="W437" t="str">
            <v>Superintendencia Planificacion Minera</v>
          </cell>
          <cell r="X437" t="str">
            <v>Planificacion Mina Corto Plazo</v>
          </cell>
          <cell r="Y437" t="str">
            <v>Operativo</v>
          </cell>
          <cell r="Z437" t="str">
            <v>Indefinido</v>
          </cell>
        </row>
        <row r="438">
          <cell r="A438" t="str">
            <v>66816</v>
          </cell>
          <cell r="B438" t="str">
            <v>107559590</v>
          </cell>
          <cell r="C438" t="str">
            <v>PALMA OVIEDO OSCAR ROBERTO</v>
          </cell>
          <cell r="D438" t="str">
            <v>Ingeniero Especialista de Abastecimiento</v>
          </cell>
          <cell r="E438" t="str">
            <v>Prof. 4X3 12 hrs</v>
          </cell>
          <cell r="F438" t="str">
            <v>Masculino</v>
          </cell>
          <cell r="G438" t="str">
            <v>OPALMA@CODELCO.CL</v>
          </cell>
          <cell r="H438">
            <v>46</v>
          </cell>
          <cell r="I438">
            <v>45689</v>
          </cell>
          <cell r="J438">
            <v>45689</v>
          </cell>
          <cell r="K438" t="str">
            <v>#</v>
          </cell>
          <cell r="L438">
            <v>45689</v>
          </cell>
          <cell r="M438">
            <v>45689</v>
          </cell>
          <cell r="N438">
            <v>45689</v>
          </cell>
          <cell r="O438">
            <v>45689</v>
          </cell>
          <cell r="P438">
            <v>53122</v>
          </cell>
          <cell r="Q438">
            <v>45689</v>
          </cell>
          <cell r="R438">
            <v>1</v>
          </cell>
          <cell r="S438">
            <v>45689</v>
          </cell>
          <cell r="T438" t="str">
            <v>ORQUERA VARGAS DANNY CHRISTIAN</v>
          </cell>
          <cell r="U438" t="str">
            <v>DORQU001@CODELCO.CL</v>
          </cell>
          <cell r="V438" t="str">
            <v>Gerencia de Administración</v>
          </cell>
          <cell r="W438" t="str">
            <v>Direccion de Abastecimientos</v>
          </cell>
          <cell r="X438" t="str">
            <v>Direccion de Abastecimientos</v>
          </cell>
          <cell r="Y438" t="str">
            <v>Profesional</v>
          </cell>
          <cell r="Z438" t="str">
            <v>Indefinido</v>
          </cell>
        </row>
        <row r="439">
          <cell r="A439" t="str">
            <v>66817</v>
          </cell>
          <cell r="B439" t="str">
            <v>129506318</v>
          </cell>
          <cell r="C439" t="str">
            <v>RAMIREZ HERRERA CRISTIAN PATRICIO</v>
          </cell>
          <cell r="D439" t="str">
            <v>Jefe Ingenieria</v>
          </cell>
          <cell r="E439" t="str">
            <v>Prof. 4X3 12 hrs</v>
          </cell>
          <cell r="F439" t="str">
            <v>Masculino</v>
          </cell>
          <cell r="G439" t="str">
            <v>CRAMI022@CODELCO.CL</v>
          </cell>
          <cell r="H439">
            <v>49</v>
          </cell>
          <cell r="I439">
            <v>45689</v>
          </cell>
          <cell r="J439">
            <v>45689</v>
          </cell>
          <cell r="K439" t="str">
            <v>#</v>
          </cell>
          <cell r="L439">
            <v>45689</v>
          </cell>
          <cell r="M439">
            <v>45689</v>
          </cell>
          <cell r="N439">
            <v>45689</v>
          </cell>
          <cell r="O439">
            <v>45689</v>
          </cell>
          <cell r="P439">
            <v>51824</v>
          </cell>
          <cell r="Q439">
            <v>45689</v>
          </cell>
          <cell r="R439">
            <v>1</v>
          </cell>
          <cell r="S439">
            <v>45689</v>
          </cell>
          <cell r="T439" t="str">
            <v>FUENTEALBA OCAMPOS MAURICIO ALEJANDRO</v>
          </cell>
          <cell r="U439" t="str">
            <v>MFUEN028@CODELCO.CL</v>
          </cell>
          <cell r="V439" t="str">
            <v>Gerencia de Administración</v>
          </cell>
          <cell r="W439" t="str">
            <v>Supte. Proyectos, Infra. y Suministros</v>
          </cell>
          <cell r="X439" t="str">
            <v>Supte. Proyectos, Infra. y Suministros</v>
          </cell>
          <cell r="Y439" t="str">
            <v>Profesional</v>
          </cell>
          <cell r="Z439" t="str">
            <v>Indefinido</v>
          </cell>
        </row>
        <row r="440">
          <cell r="A440" t="str">
            <v>67132</v>
          </cell>
          <cell r="B440" t="str">
            <v>103939119</v>
          </cell>
          <cell r="C440" t="str">
            <v>GALVEZ GALVEZ JOSE MIGUEL</v>
          </cell>
          <cell r="D440" t="str">
            <v>Operador Mina</v>
          </cell>
          <cell r="E440" t="str">
            <v>Oper. 7X7 12 Hrs TAB G03</v>
          </cell>
          <cell r="F440" t="str">
            <v>Masculino</v>
          </cell>
          <cell r="G440" t="str">
            <v>JGALV016@CODELCO.CL</v>
          </cell>
          <cell r="H440">
            <v>50</v>
          </cell>
          <cell r="I440">
            <v>45754</v>
          </cell>
          <cell r="J440">
            <v>45664</v>
          </cell>
          <cell r="K440" t="str">
            <v>10</v>
          </cell>
          <cell r="L440">
            <v>45664</v>
          </cell>
          <cell r="M440">
            <v>45754</v>
          </cell>
          <cell r="N440">
            <v>45754</v>
          </cell>
          <cell r="O440">
            <v>45754</v>
          </cell>
          <cell r="P440">
            <v>51817</v>
          </cell>
          <cell r="Q440">
            <v>45754</v>
          </cell>
          <cell r="R440">
            <v>1</v>
          </cell>
          <cell r="S440">
            <v>45754</v>
          </cell>
          <cell r="T440" t="str">
            <v>ZUMELZU BRAVO MARYLIN</v>
          </cell>
          <cell r="U440" t="str">
            <v>MZUME001@CODELCO.CL</v>
          </cell>
          <cell r="V440" t="str">
            <v>Gerencia de Operaciones</v>
          </cell>
          <cell r="W440" t="str">
            <v>Sptcia. Operacion Mina</v>
          </cell>
          <cell r="X440" t="str">
            <v>Sptcia. Operacion Mina</v>
          </cell>
          <cell r="Y440" t="str">
            <v>Operativo</v>
          </cell>
          <cell r="Z440" t="str">
            <v>Indefinido</v>
          </cell>
        </row>
        <row r="441">
          <cell r="A441" t="str">
            <v>67418</v>
          </cell>
          <cell r="B441" t="str">
            <v>162030477</v>
          </cell>
          <cell r="C441" t="str">
            <v>ARAYA CARVAJAL JEREMY ALEXANDER</v>
          </cell>
          <cell r="D441" t="str">
            <v>Operador Planta AS</v>
          </cell>
          <cell r="E441" t="str">
            <v>Oper. 7X7 12 Hrs TAB G03</v>
          </cell>
          <cell r="F441" t="str">
            <v>Masculino</v>
          </cell>
          <cell r="G441" t="str">
            <v>JARAY120@CODELCO.CL</v>
          </cell>
          <cell r="H441">
            <v>40</v>
          </cell>
          <cell r="I441">
            <v>42795</v>
          </cell>
          <cell r="J441">
            <v>42705</v>
          </cell>
          <cell r="K441" t="str">
            <v>10</v>
          </cell>
          <cell r="L441">
            <v>44682</v>
          </cell>
          <cell r="M441">
            <v>42795</v>
          </cell>
          <cell r="N441">
            <v>42705</v>
          </cell>
          <cell r="O441">
            <v>42705</v>
          </cell>
          <cell r="P441">
            <v>55060</v>
          </cell>
          <cell r="Q441">
            <v>41821</v>
          </cell>
          <cell r="R441">
            <v>9</v>
          </cell>
          <cell r="S441">
            <v>42795</v>
          </cell>
          <cell r="T441" t="str">
            <v>VASQUEZ LOPEZ ARTURO RICARDO</v>
          </cell>
          <cell r="U441" t="str">
            <v>AVASQ018@CODELCO.CL</v>
          </cell>
          <cell r="V441" t="str">
            <v>Gerencia de Operaciones</v>
          </cell>
          <cell r="W441" t="str">
            <v>Sptcia. Operacion Area Seca</v>
          </cell>
          <cell r="X441" t="str">
            <v>Sptcia. Operacion Area Seca</v>
          </cell>
          <cell r="Y441" t="str">
            <v>Operativo</v>
          </cell>
          <cell r="Z441" t="str">
            <v>Indefinido</v>
          </cell>
        </row>
        <row r="442">
          <cell r="A442" t="str">
            <v>67780</v>
          </cell>
          <cell r="B442" t="str">
            <v>140512583</v>
          </cell>
          <cell r="C442" t="str">
            <v>MENESES SANHUEZA JORGE ANDRES</v>
          </cell>
          <cell r="D442" t="str">
            <v>Operador Planta AS</v>
          </cell>
          <cell r="E442" t="str">
            <v>Oper. 7X7 12 Hrs TAB G01</v>
          </cell>
          <cell r="F442" t="str">
            <v>Masculino</v>
          </cell>
          <cell r="G442" t="str">
            <v>JMENE007@CODELCO.CL</v>
          </cell>
          <cell r="H442">
            <v>45</v>
          </cell>
          <cell r="I442">
            <v>41918</v>
          </cell>
          <cell r="J442">
            <v>41918</v>
          </cell>
          <cell r="K442" t="str">
            <v>10</v>
          </cell>
          <cell r="L442">
            <v>43586</v>
          </cell>
          <cell r="M442">
            <v>41918</v>
          </cell>
          <cell r="N442">
            <v>41918</v>
          </cell>
          <cell r="O442">
            <v>41918</v>
          </cell>
          <cell r="P442">
            <v>53347</v>
          </cell>
          <cell r="Q442">
            <v>41918</v>
          </cell>
          <cell r="R442">
            <v>12</v>
          </cell>
          <cell r="S442">
            <v>41918</v>
          </cell>
          <cell r="T442" t="str">
            <v>AGUILERA PÉREZ JOSÉ ALFREDO</v>
          </cell>
          <cell r="U442" t="str">
            <v>JAGUI067@CODELCO.CL</v>
          </cell>
          <cell r="V442" t="str">
            <v>Gerencia de Operaciones</v>
          </cell>
          <cell r="W442" t="str">
            <v>Sptcia. Operacion Area Seca</v>
          </cell>
          <cell r="X442" t="str">
            <v>Sptcia. Operacion Area Seca</v>
          </cell>
          <cell r="Y442" t="str">
            <v>Operativo</v>
          </cell>
          <cell r="Z442" t="str">
            <v>Indefinido</v>
          </cell>
        </row>
        <row r="443">
          <cell r="A443" t="str">
            <v>67781</v>
          </cell>
          <cell r="B443" t="str">
            <v>132217238</v>
          </cell>
          <cell r="C443" t="str">
            <v>PONCE ARTAZA CLAUDIO ERNESTO</v>
          </cell>
          <cell r="D443" t="str">
            <v>Operador Planta AH</v>
          </cell>
          <cell r="E443" t="str">
            <v>Oper. 7X7 12 Hrs TAB G02</v>
          </cell>
          <cell r="F443" t="str">
            <v>Masculino</v>
          </cell>
          <cell r="G443" t="str">
            <v>CPONC012@CODELCO.CL</v>
          </cell>
          <cell r="H443">
            <v>49</v>
          </cell>
          <cell r="I443">
            <v>41918</v>
          </cell>
          <cell r="J443">
            <v>41918</v>
          </cell>
          <cell r="K443" t="str">
            <v>10</v>
          </cell>
          <cell r="L443">
            <v>45778</v>
          </cell>
          <cell r="M443">
            <v>41918</v>
          </cell>
          <cell r="N443">
            <v>41918</v>
          </cell>
          <cell r="O443">
            <v>41918</v>
          </cell>
          <cell r="P443">
            <v>51926</v>
          </cell>
          <cell r="Q443">
            <v>41918</v>
          </cell>
          <cell r="R443">
            <v>12</v>
          </cell>
          <cell r="S443">
            <v>41918</v>
          </cell>
          <cell r="T443" t="str">
            <v>CORREA MENDOZA CAMILA</v>
          </cell>
          <cell r="U443" t="str">
            <v>CCORR014@CODELCO.CL</v>
          </cell>
          <cell r="V443" t="str">
            <v>Gerencia de Operaciones</v>
          </cell>
          <cell r="W443" t="str">
            <v>Sptcia. Operacion Area Hum.</v>
          </cell>
          <cell r="X443" t="str">
            <v>Sx Ew y Patio de Embarque</v>
          </cell>
          <cell r="Y443" t="str">
            <v>Operativo</v>
          </cell>
          <cell r="Z443" t="str">
            <v>Indefinido</v>
          </cell>
        </row>
        <row r="444">
          <cell r="A444" t="str">
            <v>67800</v>
          </cell>
          <cell r="B444" t="str">
            <v>177945234</v>
          </cell>
          <cell r="C444" t="str">
            <v>VALENZUELA CRUZAT JAVIER</v>
          </cell>
          <cell r="D444" t="str">
            <v>Ingeniero Confiabilidad</v>
          </cell>
          <cell r="E444" t="str">
            <v>Prof. 4X3 12 hrs</v>
          </cell>
          <cell r="F444" t="str">
            <v>Masculino</v>
          </cell>
          <cell r="G444" t="str">
            <v>JVALE067@CODELCO.CL</v>
          </cell>
          <cell r="H444">
            <v>35</v>
          </cell>
          <cell r="I444">
            <v>44683</v>
          </cell>
          <cell r="J444">
            <v>45474</v>
          </cell>
          <cell r="K444" t="str">
            <v>#</v>
          </cell>
          <cell r="L444">
            <v>45931</v>
          </cell>
          <cell r="M444">
            <v>44683</v>
          </cell>
          <cell r="N444">
            <v>44682</v>
          </cell>
          <cell r="O444">
            <v>45474</v>
          </cell>
          <cell r="P444">
            <v>53094</v>
          </cell>
          <cell r="Q444">
            <v>44683</v>
          </cell>
          <cell r="R444">
            <v>4</v>
          </cell>
          <cell r="S444">
            <v>44683</v>
          </cell>
          <cell r="T444" t="str">
            <v>HEMMELMANN FUENTES NATHALIE</v>
          </cell>
          <cell r="U444" t="str">
            <v>NHEMM001@CODELCO.CL</v>
          </cell>
          <cell r="V444" t="str">
            <v>Gerencia de Mantenimiento</v>
          </cell>
          <cell r="W444" t="str">
            <v>Superintendencia de Confiabilidad</v>
          </cell>
          <cell r="X444" t="str">
            <v>Superintendencia de Confiabilidad</v>
          </cell>
          <cell r="Y444" t="str">
            <v>Profesional</v>
          </cell>
          <cell r="Z444" t="str">
            <v>Indefinido</v>
          </cell>
        </row>
        <row r="445">
          <cell r="A445" t="str">
            <v>68118</v>
          </cell>
          <cell r="B445" t="str">
            <v>157206885</v>
          </cell>
          <cell r="C445" t="str">
            <v>VERA GAJARDO CARLOS ALEXIS</v>
          </cell>
          <cell r="D445" t="str">
            <v>Supdte. Planificacion Mantenimiento</v>
          </cell>
          <cell r="E445" t="str">
            <v>Prof. 4X3 12 hrs</v>
          </cell>
          <cell r="F445" t="str">
            <v>Masculino</v>
          </cell>
          <cell r="G445" t="str">
            <v>CVERA009@CODELCO.CL</v>
          </cell>
          <cell r="H445">
            <v>42</v>
          </cell>
          <cell r="I445">
            <v>43389</v>
          </cell>
          <cell r="J445">
            <v>45627</v>
          </cell>
          <cell r="K445" t="str">
            <v>4</v>
          </cell>
          <cell r="L445">
            <v>45627</v>
          </cell>
          <cell r="M445">
            <v>43389</v>
          </cell>
          <cell r="N445">
            <v>43389</v>
          </cell>
          <cell r="O445">
            <v>43389</v>
          </cell>
          <cell r="P445">
            <v>54299</v>
          </cell>
          <cell r="Q445">
            <v>41995</v>
          </cell>
          <cell r="R445">
            <v>8</v>
          </cell>
          <cell r="S445">
            <v>43389</v>
          </cell>
          <cell r="T445" t="str">
            <v>Sin asignar</v>
          </cell>
          <cell r="U445" t="str">
            <v>Sin asignar</v>
          </cell>
          <cell r="V445" t="str">
            <v>Gerencia de Mantenimiento</v>
          </cell>
          <cell r="W445" t="str">
            <v>Sptcia. Planificacion Mantenimiento</v>
          </cell>
          <cell r="X445" t="str">
            <v>Sptcia. Planificacion Mantenimiento</v>
          </cell>
          <cell r="Y445" t="str">
            <v>Profesional</v>
          </cell>
          <cell r="Z445" t="str">
            <v>Indefinido</v>
          </cell>
        </row>
        <row r="446">
          <cell r="A446" t="str">
            <v>68578</v>
          </cell>
          <cell r="B446" t="str">
            <v>183135821</v>
          </cell>
          <cell r="C446" t="str">
            <v>CAYO CORVACHO VIVIANA ISABEL</v>
          </cell>
          <cell r="D446" t="str">
            <v>Ing. Turno Mtto. Ripios</v>
          </cell>
          <cell r="E446" t="str">
            <v>Oper. 7X7 12 Hrs TAB G03</v>
          </cell>
          <cell r="F446" t="str">
            <v>Femenino</v>
          </cell>
          <cell r="G446" t="str">
            <v>VCAYO001@CODELCO.CL</v>
          </cell>
          <cell r="H446">
            <v>33</v>
          </cell>
          <cell r="I446">
            <v>44389</v>
          </cell>
          <cell r="J446">
            <v>45627</v>
          </cell>
          <cell r="K446" t="str">
            <v>#</v>
          </cell>
          <cell r="L446">
            <v>45597</v>
          </cell>
          <cell r="M446">
            <v>44389</v>
          </cell>
          <cell r="N446">
            <v>45627</v>
          </cell>
          <cell r="O446">
            <v>45627</v>
          </cell>
          <cell r="P446">
            <v>44578</v>
          </cell>
          <cell r="Q446">
            <v>42010</v>
          </cell>
          <cell r="R446">
            <v>5</v>
          </cell>
          <cell r="S446">
            <v>44389</v>
          </cell>
          <cell r="T446" t="str">
            <v>GUTIÉRREZ VALENCIA JAVIERA PAZ</v>
          </cell>
          <cell r="U446" t="str">
            <v>JGUTI050@CODELCO.CL</v>
          </cell>
          <cell r="V446" t="str">
            <v>Gerencia de Mantenimiento</v>
          </cell>
          <cell r="W446" t="str">
            <v>Sptcia. Mtto. Area Seca</v>
          </cell>
          <cell r="X446" t="str">
            <v>Sptcia. Mtto. Area Seca</v>
          </cell>
          <cell r="Y446" t="str">
            <v>Profesional</v>
          </cell>
          <cell r="Z446" t="str">
            <v>Indefinido</v>
          </cell>
        </row>
        <row r="447">
          <cell r="A447" t="str">
            <v>68836</v>
          </cell>
          <cell r="B447" t="str">
            <v>171156378</v>
          </cell>
          <cell r="C447" t="str">
            <v>CEPEDA Muñoz CLAUDIA</v>
          </cell>
          <cell r="D447" t="str">
            <v>Especialista Operativo Suministros</v>
          </cell>
          <cell r="E447" t="str">
            <v>Oper. 7X7 12 Hrs TAB A06</v>
          </cell>
          <cell r="F447" t="str">
            <v>Femenino</v>
          </cell>
          <cell r="G447" t="str">
            <v>CCEPE003@CODELCO.CL</v>
          </cell>
          <cell r="H447">
            <v>39</v>
          </cell>
          <cell r="I447">
            <v>45817</v>
          </cell>
          <cell r="J447">
            <v>45817</v>
          </cell>
          <cell r="K447" t="str">
            <v>9</v>
          </cell>
          <cell r="L447">
            <v>45817</v>
          </cell>
          <cell r="M447">
            <v>45817</v>
          </cell>
          <cell r="N447">
            <v>45817</v>
          </cell>
          <cell r="O447">
            <v>45817</v>
          </cell>
          <cell r="P447">
            <v>53816</v>
          </cell>
          <cell r="Q447">
            <v>42044</v>
          </cell>
          <cell r="R447">
            <v>1</v>
          </cell>
          <cell r="S447">
            <v>45817</v>
          </cell>
          <cell r="T447" t="str">
            <v>OSORIO CASIMIS MARKO IGNACIO</v>
          </cell>
          <cell r="U447" t="str">
            <v>MOSOR016@CODELCO.CL</v>
          </cell>
          <cell r="V447" t="str">
            <v>Gerencia de Administración</v>
          </cell>
          <cell r="W447" t="str">
            <v>Supte. Proyectos, Infra. y Suministros</v>
          </cell>
          <cell r="X447" t="str">
            <v>Supte. Proyectos, Infra. y Suministros</v>
          </cell>
          <cell r="Y447" t="str">
            <v>Operativo</v>
          </cell>
          <cell r="Z447" t="str">
            <v>Indefinido</v>
          </cell>
        </row>
        <row r="448">
          <cell r="A448" t="str">
            <v>69345</v>
          </cell>
          <cell r="B448" t="str">
            <v>119032601</v>
          </cell>
          <cell r="C448" t="str">
            <v>BARAHONA SILVA ALEJANDRO ALEXIS</v>
          </cell>
          <cell r="D448" t="str">
            <v>Ing. Turno Mtto. Ripios</v>
          </cell>
          <cell r="E448" t="str">
            <v>Oper. 7X7 12 Hrs TAB G04</v>
          </cell>
          <cell r="F448" t="str">
            <v>Masculino</v>
          </cell>
          <cell r="G448" t="str">
            <v>ABARA002@CODELCO.CL</v>
          </cell>
          <cell r="H448">
            <v>54</v>
          </cell>
          <cell r="I448">
            <v>42128</v>
          </cell>
          <cell r="J448">
            <v>42128</v>
          </cell>
          <cell r="K448" t="str">
            <v>8</v>
          </cell>
          <cell r="L448">
            <v>42128</v>
          </cell>
          <cell r="M448">
            <v>42128</v>
          </cell>
          <cell r="N448">
            <v>42128</v>
          </cell>
          <cell r="O448">
            <v>42128</v>
          </cell>
          <cell r="P448">
            <v>42128</v>
          </cell>
          <cell r="Q448">
            <v>42128</v>
          </cell>
          <cell r="R448">
            <v>11</v>
          </cell>
          <cell r="S448">
            <v>42128</v>
          </cell>
          <cell r="T448" t="str">
            <v>GUTIÉRREZ VALENCIA JAVIERA PAZ</v>
          </cell>
          <cell r="U448" t="str">
            <v>JGUTI050@CODELCO.CL</v>
          </cell>
          <cell r="V448" t="str">
            <v>Gerencia de Mantenimiento</v>
          </cell>
          <cell r="W448" t="str">
            <v>Sptcia. Mtto. Area Seca</v>
          </cell>
          <cell r="X448" t="str">
            <v>Sptcia. Mtto. Area Seca</v>
          </cell>
          <cell r="Y448" t="str">
            <v>Profesional</v>
          </cell>
          <cell r="Z448" t="str">
            <v>Indefinido</v>
          </cell>
        </row>
        <row r="449">
          <cell r="A449" t="str">
            <v>69351</v>
          </cell>
          <cell r="B449" t="str">
            <v>128148809</v>
          </cell>
          <cell r="C449" t="str">
            <v>PASTEN ROJAS HECTOR ERNESTO</v>
          </cell>
          <cell r="D449" t="str">
            <v>Operador Mina</v>
          </cell>
          <cell r="E449" t="str">
            <v>Oper. 7X7 12 Hrs TAB G03</v>
          </cell>
          <cell r="F449" t="str">
            <v>Masculino</v>
          </cell>
          <cell r="G449" t="str">
            <v>HPAST006@CODELCO.CL</v>
          </cell>
          <cell r="H449">
            <v>51</v>
          </cell>
          <cell r="I449">
            <v>42128</v>
          </cell>
          <cell r="J449">
            <v>43405</v>
          </cell>
          <cell r="K449" t="str">
            <v>10</v>
          </cell>
          <cell r="L449">
            <v>42128</v>
          </cell>
          <cell r="M449">
            <v>42128</v>
          </cell>
          <cell r="N449">
            <v>43405</v>
          </cell>
          <cell r="O449">
            <v>43405</v>
          </cell>
          <cell r="P449">
            <v>51295</v>
          </cell>
          <cell r="Q449">
            <v>42128</v>
          </cell>
          <cell r="R449">
            <v>11</v>
          </cell>
          <cell r="S449">
            <v>42491</v>
          </cell>
          <cell r="T449" t="str">
            <v>ZUMELZU BRAVO MARYLIN</v>
          </cell>
          <cell r="U449" t="str">
            <v>MZUME001@CODELCO.CL</v>
          </cell>
          <cell r="V449" t="str">
            <v>Gerencia de Operaciones</v>
          </cell>
          <cell r="W449" t="str">
            <v>Sptcia. Operacion Mina</v>
          </cell>
          <cell r="X449" t="str">
            <v>Sptcia. Operacion Mina</v>
          </cell>
          <cell r="Y449" t="str">
            <v>Operativo</v>
          </cell>
          <cell r="Z449" t="str">
            <v>Indefinido</v>
          </cell>
        </row>
        <row r="450">
          <cell r="A450" t="str">
            <v>69353</v>
          </cell>
          <cell r="B450" t="str">
            <v>143691705</v>
          </cell>
          <cell r="C450" t="str">
            <v>MARTINEZ MEDINA RICARDO MARCELO</v>
          </cell>
          <cell r="D450" t="str">
            <v>Operador Mina</v>
          </cell>
          <cell r="E450" t="str">
            <v>Oper. 7X7 12 Hrs TAB G02</v>
          </cell>
          <cell r="F450" t="str">
            <v>Masculino</v>
          </cell>
          <cell r="G450" t="str">
            <v>RMART040@CODELCO.CL</v>
          </cell>
          <cell r="H450">
            <v>53</v>
          </cell>
          <cell r="I450">
            <v>42128</v>
          </cell>
          <cell r="J450">
            <v>42128</v>
          </cell>
          <cell r="K450" t="str">
            <v>10</v>
          </cell>
          <cell r="L450">
            <v>45778</v>
          </cell>
          <cell r="M450">
            <v>42128</v>
          </cell>
          <cell r="N450">
            <v>42128</v>
          </cell>
          <cell r="O450">
            <v>42128</v>
          </cell>
          <cell r="P450">
            <v>50300</v>
          </cell>
          <cell r="Q450">
            <v>42128</v>
          </cell>
          <cell r="R450">
            <v>11</v>
          </cell>
          <cell r="S450">
            <v>42491</v>
          </cell>
          <cell r="T450" t="str">
            <v>ORTEGA ORTUYA CARLOS</v>
          </cell>
          <cell r="U450" t="str">
            <v>CORTE009@CODELCO.CL</v>
          </cell>
          <cell r="V450" t="str">
            <v>Gerencia de Operaciones</v>
          </cell>
          <cell r="W450" t="str">
            <v>Sptcia. Operacion Mina</v>
          </cell>
          <cell r="X450" t="str">
            <v>Sptcia. Operacion Mina</v>
          </cell>
          <cell r="Y450" t="str">
            <v>Operativo</v>
          </cell>
          <cell r="Z450" t="str">
            <v>Indefinido</v>
          </cell>
        </row>
        <row r="451">
          <cell r="A451" t="str">
            <v>69412</v>
          </cell>
          <cell r="B451" t="str">
            <v>156949760</v>
          </cell>
          <cell r="C451" t="str">
            <v>MONROY ORDENES RAUL ALEJANDRO</v>
          </cell>
          <cell r="D451" t="str">
            <v>Operador Mina</v>
          </cell>
          <cell r="E451" t="str">
            <v>Oper. 7X7 12 Hrs TAB G02</v>
          </cell>
          <cell r="F451" t="str">
            <v>Masculino</v>
          </cell>
          <cell r="G451" t="str">
            <v>RMONROY@CODELCO.CL</v>
          </cell>
          <cell r="H451">
            <v>42</v>
          </cell>
          <cell r="I451">
            <v>42128</v>
          </cell>
          <cell r="J451">
            <v>42128</v>
          </cell>
          <cell r="K451" t="str">
            <v>10</v>
          </cell>
          <cell r="L451">
            <v>44682</v>
          </cell>
          <cell r="M451">
            <v>42128</v>
          </cell>
          <cell r="N451">
            <v>42128</v>
          </cell>
          <cell r="O451">
            <v>42128</v>
          </cell>
          <cell r="P451">
            <v>54484</v>
          </cell>
          <cell r="Q451">
            <v>42128</v>
          </cell>
          <cell r="R451">
            <v>11</v>
          </cell>
          <cell r="S451">
            <v>42491</v>
          </cell>
          <cell r="T451" t="str">
            <v>ORTEGA ORTUYA CARLOS</v>
          </cell>
          <cell r="U451" t="str">
            <v>CORTE009@CODELCO.CL</v>
          </cell>
          <cell r="V451" t="str">
            <v>Gerencia de Operaciones</v>
          </cell>
          <cell r="W451" t="str">
            <v>Sptcia. Operacion Mina</v>
          </cell>
          <cell r="X451" t="str">
            <v>Sptcia. Operacion Mina</v>
          </cell>
          <cell r="Y451" t="str">
            <v>Operativo</v>
          </cell>
          <cell r="Z451" t="str">
            <v>Indefinido</v>
          </cell>
        </row>
        <row r="452">
          <cell r="A452" t="str">
            <v>69518</v>
          </cell>
          <cell r="B452" t="str">
            <v>185810283</v>
          </cell>
          <cell r="C452" t="str">
            <v>ROJAS ROJAS ALEXIS</v>
          </cell>
          <cell r="D452" t="str">
            <v>Operador Planta AS</v>
          </cell>
          <cell r="E452" t="str">
            <v>Oper. 7X7 12 Hrs TAB G02</v>
          </cell>
          <cell r="F452" t="str">
            <v>Masculino</v>
          </cell>
          <cell r="G452" t="str">
            <v>AROJA086@CODELCO.CL</v>
          </cell>
          <cell r="H452">
            <v>32</v>
          </cell>
          <cell r="I452">
            <v>44713</v>
          </cell>
          <cell r="J452">
            <v>44713</v>
          </cell>
          <cell r="K452" t="str">
            <v>10</v>
          </cell>
          <cell r="L452">
            <v>44713</v>
          </cell>
          <cell r="M452">
            <v>44713</v>
          </cell>
          <cell r="N452">
            <v>42156</v>
          </cell>
          <cell r="O452">
            <v>42156</v>
          </cell>
          <cell r="P452">
            <v>50340</v>
          </cell>
          <cell r="Q452">
            <v>44713</v>
          </cell>
          <cell r="R452">
            <v>4</v>
          </cell>
          <cell r="S452">
            <v>44713</v>
          </cell>
          <cell r="T452" t="str">
            <v>CASTILLO OROSTICA ADRIANO BALTAZAR</v>
          </cell>
          <cell r="U452" t="str">
            <v>ACAST080@CODELCO.CL</v>
          </cell>
          <cell r="V452" t="str">
            <v>Gerencia de Operaciones</v>
          </cell>
          <cell r="W452" t="str">
            <v>Sptcia. Operacion Area Seca</v>
          </cell>
          <cell r="X452" t="str">
            <v>Sptcia. Operacion Area Seca</v>
          </cell>
          <cell r="Y452" t="str">
            <v>Operativo</v>
          </cell>
          <cell r="Z452" t="str">
            <v>Indefinido</v>
          </cell>
        </row>
        <row r="453">
          <cell r="A453" t="str">
            <v>69557</v>
          </cell>
          <cell r="B453" t="str">
            <v>157826638</v>
          </cell>
          <cell r="C453" t="str">
            <v>CAFFARENA BARCENILLA FELIPE ALBERTO</v>
          </cell>
          <cell r="D453" t="str">
            <v>Superintendente Planificacion Minera</v>
          </cell>
          <cell r="E453" t="str">
            <v>Prof. 4X3 12 hrs</v>
          </cell>
          <cell r="F453" t="str">
            <v>Masculino</v>
          </cell>
          <cell r="G453" t="str">
            <v>FCAFFARE@CODELCO.CL</v>
          </cell>
          <cell r="H453">
            <v>42</v>
          </cell>
          <cell r="I453">
            <v>42170</v>
          </cell>
          <cell r="J453">
            <v>42170</v>
          </cell>
          <cell r="K453" t="str">
            <v>4</v>
          </cell>
          <cell r="L453">
            <v>45413</v>
          </cell>
          <cell r="M453">
            <v>42170</v>
          </cell>
          <cell r="N453">
            <v>42170</v>
          </cell>
          <cell r="O453">
            <v>45413</v>
          </cell>
          <cell r="P453">
            <v>54548</v>
          </cell>
          <cell r="Q453">
            <v>42170</v>
          </cell>
          <cell r="R453">
            <v>11</v>
          </cell>
          <cell r="S453">
            <v>42170</v>
          </cell>
          <cell r="T453" t="str">
            <v>AGUIRRE MENESES HUGO ANDRES</v>
          </cell>
          <cell r="U453" t="str">
            <v>HAGUI024@CODELCO.CL</v>
          </cell>
          <cell r="V453" t="str">
            <v>Gerencia de Recursos Mineros y Desarr</v>
          </cell>
          <cell r="W453" t="str">
            <v>Superintendencia Planificacion Minera</v>
          </cell>
          <cell r="X453" t="str">
            <v>Superintendencia Planificacion Minera</v>
          </cell>
          <cell r="Y453" t="str">
            <v>Profesional</v>
          </cell>
          <cell r="Z453" t="str">
            <v>Indefinido</v>
          </cell>
        </row>
        <row r="454">
          <cell r="A454" t="str">
            <v>69861</v>
          </cell>
          <cell r="B454" t="str">
            <v>141893394</v>
          </cell>
          <cell r="C454" t="str">
            <v>RETAMAL ROBINSON CRISTIAN ARSENIO</v>
          </cell>
          <cell r="D454" t="str">
            <v>Ingeniero Especialista Proyectos</v>
          </cell>
          <cell r="E454" t="str">
            <v>Prof. 4X3 12 hrs</v>
          </cell>
          <cell r="F454" t="str">
            <v>Masculino</v>
          </cell>
          <cell r="G454" t="str">
            <v>CRETA007@CODELCO.CL</v>
          </cell>
          <cell r="H454">
            <v>44</v>
          </cell>
          <cell r="I454">
            <v>45689</v>
          </cell>
          <cell r="J454">
            <v>45689</v>
          </cell>
          <cell r="K454" t="str">
            <v>#</v>
          </cell>
          <cell r="L454">
            <v>45689</v>
          </cell>
          <cell r="M454">
            <v>45689</v>
          </cell>
          <cell r="N454">
            <v>45689</v>
          </cell>
          <cell r="O454">
            <v>45689</v>
          </cell>
          <cell r="P454">
            <v>53685</v>
          </cell>
          <cell r="Q454">
            <v>45689</v>
          </cell>
          <cell r="R454">
            <v>1</v>
          </cell>
          <cell r="S454">
            <v>45689</v>
          </cell>
          <cell r="T454" t="str">
            <v>FUENTEALBA OCAMPOS MAURICIO ALEJANDRO</v>
          </cell>
          <cell r="U454" t="str">
            <v>MFUEN028@CODELCO.CL</v>
          </cell>
          <cell r="V454" t="str">
            <v>Gerencia de Administración</v>
          </cell>
          <cell r="W454" t="str">
            <v>Supte. Proyectos, Infra. y Suministros</v>
          </cell>
          <cell r="X454" t="str">
            <v>Supte. Proyectos, Infra. y Suministros</v>
          </cell>
          <cell r="Y454" t="str">
            <v>Profesional</v>
          </cell>
          <cell r="Z454" t="str">
            <v>Indefinido</v>
          </cell>
        </row>
        <row r="455">
          <cell r="A455" t="str">
            <v>70022</v>
          </cell>
          <cell r="B455" t="str">
            <v>131774753</v>
          </cell>
          <cell r="C455" t="str">
            <v>CARDENAS KOVACIC MAURICIO ESTEBAN</v>
          </cell>
          <cell r="D455" t="str">
            <v>Ingeniero Planif. Mtto Mina</v>
          </cell>
          <cell r="E455" t="str">
            <v>Oper. 7X7 12 Hrs TAB A05</v>
          </cell>
          <cell r="F455" t="str">
            <v>Masculino</v>
          </cell>
          <cell r="G455" t="str">
            <v>MCARD008@CODELCO.CL</v>
          </cell>
          <cell r="H455">
            <v>48</v>
          </cell>
          <cell r="I455">
            <v>42261</v>
          </cell>
          <cell r="J455">
            <v>42261</v>
          </cell>
          <cell r="K455" t="str">
            <v>8</v>
          </cell>
          <cell r="L455">
            <v>43586</v>
          </cell>
          <cell r="M455">
            <v>42261</v>
          </cell>
          <cell r="N455">
            <v>42261</v>
          </cell>
          <cell r="O455">
            <v>42261</v>
          </cell>
          <cell r="P455">
            <v>52105</v>
          </cell>
          <cell r="Q455">
            <v>42261</v>
          </cell>
          <cell r="R455">
            <v>11</v>
          </cell>
          <cell r="S455">
            <v>42261</v>
          </cell>
          <cell r="T455" t="str">
            <v>HERRERA FUENZALIDA ALEX</v>
          </cell>
          <cell r="U455" t="str">
            <v>AHERR024@CODELCO.CL</v>
          </cell>
          <cell r="V455" t="str">
            <v>Gerencia de Mantenimiento</v>
          </cell>
          <cell r="W455" t="str">
            <v>Sptcia. Planificacion Mantenimiento</v>
          </cell>
          <cell r="X455" t="str">
            <v>Sptcia. Planificacion Mantenimiento</v>
          </cell>
          <cell r="Y455" t="str">
            <v>Profesional</v>
          </cell>
          <cell r="Z455" t="str">
            <v>Indefinido</v>
          </cell>
        </row>
        <row r="456">
          <cell r="A456" t="str">
            <v>70024</v>
          </cell>
          <cell r="B456" t="str">
            <v>118924452</v>
          </cell>
          <cell r="C456" t="str">
            <v>PEZO CASTILLO LEANDRO DAVID</v>
          </cell>
          <cell r="D456" t="str">
            <v>Ingeniero Confiabilidad Correas</v>
          </cell>
          <cell r="E456" t="str">
            <v>Oper. 7X7 12 Hrs TAB A05</v>
          </cell>
          <cell r="F456" t="str">
            <v>Masculino</v>
          </cell>
          <cell r="G456" t="str">
            <v>LPEZO001@CODELCO.CL</v>
          </cell>
          <cell r="H456">
            <v>55</v>
          </cell>
          <cell r="I456">
            <v>42261</v>
          </cell>
          <cell r="J456">
            <v>45809</v>
          </cell>
          <cell r="K456" t="str">
            <v>#</v>
          </cell>
          <cell r="L456">
            <v>45809</v>
          </cell>
          <cell r="M456">
            <v>42261</v>
          </cell>
          <cell r="N456">
            <v>45809</v>
          </cell>
          <cell r="O456">
            <v>42261</v>
          </cell>
          <cell r="P456">
            <v>42261</v>
          </cell>
          <cell r="Q456">
            <v>42261</v>
          </cell>
          <cell r="R456">
            <v>11</v>
          </cell>
          <cell r="S456">
            <v>42261</v>
          </cell>
          <cell r="T456" t="str">
            <v>DELGADO CASTILLO SEBASTIÁN FELIPE</v>
          </cell>
          <cell r="U456" t="str">
            <v>SDELG003@CODELCO.CL</v>
          </cell>
          <cell r="V456" t="str">
            <v>Gerencia de Mantenimiento</v>
          </cell>
          <cell r="W456" t="str">
            <v>Superintendencia de Confiabilidad</v>
          </cell>
          <cell r="X456" t="str">
            <v>Superintendencia de Confiabilidad</v>
          </cell>
          <cell r="Y456" t="str">
            <v>Profesional</v>
          </cell>
          <cell r="Z456" t="str">
            <v>Indefinido</v>
          </cell>
        </row>
        <row r="457">
          <cell r="A457" t="str">
            <v>70045</v>
          </cell>
          <cell r="B457" t="str">
            <v>127920966</v>
          </cell>
          <cell r="C457" t="str">
            <v>MORA ARELLANO FERNANDO</v>
          </cell>
          <cell r="D457" t="str">
            <v>Ing. Esp. Planif. Mina Corto Plazo</v>
          </cell>
          <cell r="E457" t="str">
            <v>Prof. 4X3 12 hrs</v>
          </cell>
          <cell r="F457" t="str">
            <v>Masculino</v>
          </cell>
          <cell r="G457" t="str">
            <v>FMORA@CODELCO.CL</v>
          </cell>
          <cell r="H457">
            <v>51</v>
          </cell>
          <cell r="I457">
            <v>45748</v>
          </cell>
          <cell r="J457">
            <v>45748</v>
          </cell>
          <cell r="K457" t="str">
            <v>6</v>
          </cell>
          <cell r="L457">
            <v>45748</v>
          </cell>
          <cell r="M457">
            <v>45748</v>
          </cell>
          <cell r="N457">
            <v>45748</v>
          </cell>
          <cell r="O457">
            <v>45580</v>
          </cell>
          <cell r="P457">
            <v>51172</v>
          </cell>
          <cell r="Q457">
            <v>0</v>
          </cell>
          <cell r="R457">
            <v>1</v>
          </cell>
          <cell r="S457">
            <v>45748</v>
          </cell>
          <cell r="T457" t="str">
            <v>CAFFARENA BARCENILLA FELIPE ALBERTO</v>
          </cell>
          <cell r="U457" t="str">
            <v>FCAFFARE@CODELCO.CL</v>
          </cell>
          <cell r="V457" t="str">
            <v>Gerencia de Recursos Mineros y Desarr</v>
          </cell>
          <cell r="W457" t="str">
            <v>Superintendencia Planificacion Minera</v>
          </cell>
          <cell r="X457" t="str">
            <v>Planificacion Mina Corto Plazo</v>
          </cell>
          <cell r="Y457" t="str">
            <v>Profesional</v>
          </cell>
          <cell r="Z457" t="str">
            <v>Indefinido</v>
          </cell>
        </row>
        <row r="458">
          <cell r="A458" t="str">
            <v>70118</v>
          </cell>
          <cell r="B458" t="str">
            <v>007277034K</v>
          </cell>
          <cell r="C458" t="str">
            <v>CASTILLO OROSTICA ADRIANO BALTAZAR</v>
          </cell>
          <cell r="D458" t="str">
            <v>Ing. Turno Op. Chancado y Apilamiento</v>
          </cell>
          <cell r="E458" t="str">
            <v>Oper. 7X7 12 Hrs TAB G02</v>
          </cell>
          <cell r="F458" t="str">
            <v>Masculino</v>
          </cell>
          <cell r="G458" t="str">
            <v>ACAST080@CODELCO.CL</v>
          </cell>
          <cell r="H458">
            <v>73</v>
          </cell>
          <cell r="I458">
            <v>42278</v>
          </cell>
          <cell r="J458">
            <v>42278</v>
          </cell>
          <cell r="K458" t="str">
            <v>8</v>
          </cell>
          <cell r="L458">
            <v>42278</v>
          </cell>
          <cell r="M458">
            <v>42278</v>
          </cell>
          <cell r="N458">
            <v>42278</v>
          </cell>
          <cell r="O458">
            <v>42278</v>
          </cell>
          <cell r="P458">
            <v>43326</v>
          </cell>
          <cell r="Q458">
            <v>42278</v>
          </cell>
          <cell r="R458">
            <v>11</v>
          </cell>
          <cell r="S458">
            <v>42278</v>
          </cell>
          <cell r="T458" t="str">
            <v>POBLETE ESPINOZA FRANCISCO JAVIER</v>
          </cell>
          <cell r="U458" t="str">
            <v>FPOBL005@CODELCO.CL</v>
          </cell>
          <cell r="V458" t="str">
            <v>Gerencia de Operaciones</v>
          </cell>
          <cell r="W458" t="str">
            <v>Sptcia. Operacion Area Seca</v>
          </cell>
          <cell r="X458" t="str">
            <v>Sptcia. Operacion Area Seca</v>
          </cell>
          <cell r="Y458" t="str">
            <v>Profesional</v>
          </cell>
          <cell r="Z458" t="str">
            <v>Indefinido</v>
          </cell>
        </row>
        <row r="459">
          <cell r="A459" t="str">
            <v>70268</v>
          </cell>
          <cell r="B459" t="str">
            <v>155782544</v>
          </cell>
          <cell r="C459" t="str">
            <v>TEJERINA CRUZ CRUZ ARIEL BERNARDO</v>
          </cell>
          <cell r="D459" t="str">
            <v>Operador Mina</v>
          </cell>
          <cell r="E459" t="str">
            <v>Oper. 7X7 12 Hrs TAB G01</v>
          </cell>
          <cell r="F459" t="str">
            <v>Masculino</v>
          </cell>
          <cell r="G459" t="str">
            <v>ATEJE004@CODELCO.CL</v>
          </cell>
          <cell r="H459">
            <v>42</v>
          </cell>
          <cell r="I459">
            <v>45236</v>
          </cell>
          <cell r="J459">
            <v>45236</v>
          </cell>
          <cell r="K459" t="str">
            <v>10</v>
          </cell>
          <cell r="L459">
            <v>45236</v>
          </cell>
          <cell r="M459">
            <v>45236</v>
          </cell>
          <cell r="N459">
            <v>45236</v>
          </cell>
          <cell r="O459">
            <v>45236</v>
          </cell>
          <cell r="P459">
            <v>54457</v>
          </cell>
          <cell r="Q459">
            <v>45236</v>
          </cell>
          <cell r="R459">
            <v>3</v>
          </cell>
          <cell r="S459">
            <v>45236</v>
          </cell>
          <cell r="T459" t="str">
            <v>ICETA BAEZA ANTONIO</v>
          </cell>
          <cell r="U459" t="str">
            <v>AICETA@CODELCO.CL</v>
          </cell>
          <cell r="V459" t="str">
            <v>Gerencia de Operaciones</v>
          </cell>
          <cell r="W459" t="str">
            <v>Sptcia. Operacion Mina</v>
          </cell>
          <cell r="X459" t="str">
            <v>Sptcia. Operacion Mina</v>
          </cell>
          <cell r="Y459" t="str">
            <v>Operativo</v>
          </cell>
          <cell r="Z459" t="str">
            <v>Indefinido</v>
          </cell>
        </row>
        <row r="460">
          <cell r="A460" t="str">
            <v>71676</v>
          </cell>
          <cell r="B460" t="str">
            <v>135686093</v>
          </cell>
          <cell r="C460" t="str">
            <v>MEZA MENESES VICTOR GONZALO</v>
          </cell>
          <cell r="D460" t="str">
            <v>Supdte. Mtto. Area Humeda</v>
          </cell>
          <cell r="E460" t="str">
            <v>Prof. 4X3 12 hrs</v>
          </cell>
          <cell r="F460" t="str">
            <v>Masculino</v>
          </cell>
          <cell r="G460" t="str">
            <v>VMEZA003@CODELCO.CL</v>
          </cell>
          <cell r="H460">
            <v>46</v>
          </cell>
          <cell r="I460">
            <v>43709</v>
          </cell>
          <cell r="J460">
            <v>45200</v>
          </cell>
          <cell r="K460" t="str">
            <v>#</v>
          </cell>
          <cell r="L460">
            <v>45200</v>
          </cell>
          <cell r="M460">
            <v>43709</v>
          </cell>
          <cell r="N460">
            <v>43709</v>
          </cell>
          <cell r="O460">
            <v>45200</v>
          </cell>
          <cell r="P460">
            <v>54457</v>
          </cell>
          <cell r="Q460">
            <v>42534</v>
          </cell>
          <cell r="R460">
            <v>7</v>
          </cell>
          <cell r="S460">
            <v>43709</v>
          </cell>
          <cell r="T460" t="str">
            <v>Sin asignar</v>
          </cell>
          <cell r="U460" t="str">
            <v>Sin asignar</v>
          </cell>
          <cell r="V460" t="str">
            <v>Gerencia de Mantenimiento</v>
          </cell>
          <cell r="W460" t="str">
            <v>Sptcia. Mtto. Area Humeda</v>
          </cell>
          <cell r="X460" t="str">
            <v>Sptcia. Mtto. Area Humeda</v>
          </cell>
          <cell r="Y460" t="str">
            <v>Profesional</v>
          </cell>
          <cell r="Z460" t="str">
            <v>Indefinido</v>
          </cell>
        </row>
        <row r="461">
          <cell r="A461" t="str">
            <v>71994</v>
          </cell>
          <cell r="B461" t="str">
            <v>132185999</v>
          </cell>
          <cell r="C461" t="str">
            <v>RIVERA FLORES GUILLERMO PATRICIO</v>
          </cell>
          <cell r="D461" t="str">
            <v>Operador Mina</v>
          </cell>
          <cell r="E461" t="str">
            <v>Oper. 7X7 12 Hrs TAB G03</v>
          </cell>
          <cell r="F461" t="str">
            <v>Masculino</v>
          </cell>
          <cell r="G461" t="str">
            <v>GRIVE016@CODELCO.CL</v>
          </cell>
          <cell r="H461">
            <v>49</v>
          </cell>
          <cell r="I461">
            <v>43507</v>
          </cell>
          <cell r="J461">
            <v>43507</v>
          </cell>
          <cell r="K461" t="str">
            <v>10</v>
          </cell>
          <cell r="L461">
            <v>43709</v>
          </cell>
          <cell r="M461">
            <v>43507</v>
          </cell>
          <cell r="N461">
            <v>43709</v>
          </cell>
          <cell r="O461">
            <v>43507</v>
          </cell>
          <cell r="P461">
            <v>51297</v>
          </cell>
          <cell r="Q461">
            <v>42614</v>
          </cell>
          <cell r="R461">
            <v>7</v>
          </cell>
          <cell r="S461">
            <v>43709</v>
          </cell>
          <cell r="T461" t="str">
            <v>ZUMELZU BRAVO MARYLIN</v>
          </cell>
          <cell r="U461" t="str">
            <v>MZUME001@CODELCO.CL</v>
          </cell>
          <cell r="V461" t="str">
            <v>Gerencia de Operaciones</v>
          </cell>
          <cell r="W461" t="str">
            <v>Sptcia. Operacion Mina</v>
          </cell>
          <cell r="X461" t="str">
            <v>Sptcia. Operacion Mina</v>
          </cell>
          <cell r="Y461" t="str">
            <v>Operativo</v>
          </cell>
          <cell r="Z461" t="str">
            <v>Indefinido</v>
          </cell>
        </row>
        <row r="462">
          <cell r="A462" t="str">
            <v>72176</v>
          </cell>
          <cell r="B462" t="str">
            <v>012752842K</v>
          </cell>
          <cell r="C462" t="str">
            <v>CARCAMO ANGEL JAVIER GUSTAVO ADOLFO</v>
          </cell>
          <cell r="D462" t="str">
            <v>Analista Geomensor</v>
          </cell>
          <cell r="E462" t="str">
            <v>Oper. 7X7 12 Hrs TAB A06</v>
          </cell>
          <cell r="F462" t="str">
            <v>Masculino</v>
          </cell>
          <cell r="G462" t="str">
            <v>JCARC007@CODELCO.CL</v>
          </cell>
          <cell r="H462">
            <v>50</v>
          </cell>
          <cell r="I462">
            <v>42705</v>
          </cell>
          <cell r="J462">
            <v>43739</v>
          </cell>
          <cell r="K462" t="str">
            <v>9</v>
          </cell>
          <cell r="L462">
            <v>42705</v>
          </cell>
          <cell r="M462">
            <v>42705</v>
          </cell>
          <cell r="N462">
            <v>43739</v>
          </cell>
          <cell r="O462">
            <v>43739</v>
          </cell>
          <cell r="P462">
            <v>45658</v>
          </cell>
          <cell r="Q462">
            <v>42705</v>
          </cell>
          <cell r="R462">
            <v>10</v>
          </cell>
          <cell r="S462">
            <v>42705</v>
          </cell>
          <cell r="T462" t="str">
            <v>Sin asignar</v>
          </cell>
          <cell r="U462" t="str">
            <v>Sin asignar</v>
          </cell>
          <cell r="V462" t="str">
            <v>Gerencia de Recursos Mineros y Desarr</v>
          </cell>
          <cell r="W462" t="str">
            <v>Superintendencia Planificacion Minera</v>
          </cell>
          <cell r="X462" t="str">
            <v>Planificacion Mina Corto Plazo</v>
          </cell>
          <cell r="Y462" t="str">
            <v>Operativo</v>
          </cell>
          <cell r="Z462" t="str">
            <v>Indefinido</v>
          </cell>
        </row>
        <row r="463">
          <cell r="A463" t="str">
            <v>72765</v>
          </cell>
          <cell r="B463" t="str">
            <v>135338621</v>
          </cell>
          <cell r="C463" t="str">
            <v>MENA GALLEGUILLOS GALVARINO SEGUNDO</v>
          </cell>
          <cell r="D463" t="str">
            <v>Operador Mina</v>
          </cell>
          <cell r="E463" t="str">
            <v>Oper. 7X7 12 Hrs TAB G04</v>
          </cell>
          <cell r="F463" t="str">
            <v>Masculino</v>
          </cell>
          <cell r="G463" t="str">
            <v>GMENA002@CODELCO.CL</v>
          </cell>
          <cell r="H463">
            <v>47</v>
          </cell>
          <cell r="I463">
            <v>43206</v>
          </cell>
          <cell r="J463">
            <v>43206</v>
          </cell>
          <cell r="K463" t="str">
            <v>10</v>
          </cell>
          <cell r="L463">
            <v>43206</v>
          </cell>
          <cell r="M463">
            <v>43206</v>
          </cell>
          <cell r="N463">
            <v>43206</v>
          </cell>
          <cell r="O463">
            <v>43206</v>
          </cell>
          <cell r="P463">
            <v>29082</v>
          </cell>
          <cell r="Q463">
            <v>42767</v>
          </cell>
          <cell r="R463">
            <v>8</v>
          </cell>
          <cell r="S463">
            <v>43206</v>
          </cell>
          <cell r="T463" t="str">
            <v>Sin asignar</v>
          </cell>
          <cell r="U463" t="str">
            <v>Sin asignar</v>
          </cell>
          <cell r="V463" t="str">
            <v>Gerencia de Operaciones</v>
          </cell>
          <cell r="W463" t="str">
            <v>Sptcia. Operacion Mina</v>
          </cell>
          <cell r="X463" t="str">
            <v>Sptcia. Operacion Mina</v>
          </cell>
          <cell r="Y463" t="str">
            <v>Operativo</v>
          </cell>
          <cell r="Z463" t="str">
            <v>Indefinido</v>
          </cell>
        </row>
        <row r="464">
          <cell r="A464" t="str">
            <v>72802</v>
          </cell>
          <cell r="B464" t="str">
            <v>165491408</v>
          </cell>
          <cell r="C464" t="str">
            <v>CORTES MOYANO CAMILA</v>
          </cell>
          <cell r="D464" t="str">
            <v>Ing. Turno Op. Chancado y Apilamiento</v>
          </cell>
          <cell r="E464" t="str">
            <v>Oper. 7X7 12 Hrs TAB G01</v>
          </cell>
          <cell r="F464" t="str">
            <v>Femenino</v>
          </cell>
          <cell r="G464" t="str">
            <v>CCORT068@CODELCO.CL</v>
          </cell>
          <cell r="H464">
            <v>39</v>
          </cell>
          <cell r="I464">
            <v>45243</v>
          </cell>
          <cell r="J464">
            <v>45243</v>
          </cell>
          <cell r="K464" t="str">
            <v>8</v>
          </cell>
          <cell r="L464">
            <v>45243</v>
          </cell>
          <cell r="M464">
            <v>45243</v>
          </cell>
          <cell r="N464">
            <v>45243</v>
          </cell>
          <cell r="O464">
            <v>45243</v>
          </cell>
          <cell r="P464">
            <v>53688</v>
          </cell>
          <cell r="Q464">
            <v>45243</v>
          </cell>
          <cell r="R464">
            <v>3</v>
          </cell>
          <cell r="S464">
            <v>45243</v>
          </cell>
          <cell r="T464" t="str">
            <v>POBLETE ESPINOZA FRANCISCO JAVIER</v>
          </cell>
          <cell r="U464" t="str">
            <v>FPOBL005@CODELCO.CL</v>
          </cell>
          <cell r="V464" t="str">
            <v>Gerencia de Operaciones</v>
          </cell>
          <cell r="W464" t="str">
            <v>Sptcia. Operacion Area Seca</v>
          </cell>
          <cell r="X464" t="str">
            <v>Sptcia. Operacion Area Seca</v>
          </cell>
          <cell r="Y464" t="str">
            <v>Profesional</v>
          </cell>
          <cell r="Z464" t="str">
            <v>Indefinido</v>
          </cell>
        </row>
        <row r="465">
          <cell r="A465" t="str">
            <v>73489</v>
          </cell>
          <cell r="B465" t="str">
            <v>016958690K</v>
          </cell>
          <cell r="C465" t="str">
            <v>RODRIGUEZ CAMUS PABLO ANDRES</v>
          </cell>
          <cell r="D465" t="str">
            <v>Operador Planta AH</v>
          </cell>
          <cell r="E465" t="str">
            <v>Oper. 7X7 12 Hrs TAB G03</v>
          </cell>
          <cell r="F465" t="str">
            <v>Masculino</v>
          </cell>
          <cell r="G465" t="str">
            <v>PRODR016@CODELCO.CL</v>
          </cell>
          <cell r="H465">
            <v>40</v>
          </cell>
          <cell r="I465">
            <v>43132</v>
          </cell>
          <cell r="J465">
            <v>43132</v>
          </cell>
          <cell r="K465" t="str">
            <v>10</v>
          </cell>
          <cell r="L465">
            <v>43132</v>
          </cell>
          <cell r="M465">
            <v>43132</v>
          </cell>
          <cell r="N465">
            <v>43132</v>
          </cell>
          <cell r="O465">
            <v>43132</v>
          </cell>
          <cell r="P465">
            <v>55412</v>
          </cell>
          <cell r="Q465">
            <v>42948</v>
          </cell>
          <cell r="R465">
            <v>8</v>
          </cell>
          <cell r="S465">
            <v>43132</v>
          </cell>
          <cell r="T465" t="str">
            <v>NAVARRO CARVAJAL JUAN FRANCISCO</v>
          </cell>
          <cell r="U465" t="str">
            <v>JNAVA020@CODELCO.CL</v>
          </cell>
          <cell r="V465" t="str">
            <v>Gerencia de Operaciones</v>
          </cell>
          <cell r="W465" t="str">
            <v>Sptcia. Operacion Area Hum.</v>
          </cell>
          <cell r="X465" t="str">
            <v>Aglomeracion y Lixiviacion</v>
          </cell>
          <cell r="Y465" t="str">
            <v>Operativo</v>
          </cell>
          <cell r="Z465" t="str">
            <v>Indefinido</v>
          </cell>
        </row>
        <row r="466">
          <cell r="A466" t="str">
            <v>73490</v>
          </cell>
          <cell r="B466" t="str">
            <v>131023952</v>
          </cell>
          <cell r="C466" t="str">
            <v>RODRIGUEZ GATICA VICTOR HUGO</v>
          </cell>
          <cell r="D466" t="str">
            <v>Operador Planta AH</v>
          </cell>
          <cell r="E466" t="str">
            <v>Oper. 7X7 12 Hrs TAB G01</v>
          </cell>
          <cell r="F466" t="str">
            <v>Masculino</v>
          </cell>
          <cell r="G466" t="str">
            <v>VRODR008@CODELCO.CL</v>
          </cell>
          <cell r="H466">
            <v>50</v>
          </cell>
          <cell r="I466">
            <v>42948</v>
          </cell>
          <cell r="J466">
            <v>42948</v>
          </cell>
          <cell r="K466" t="str">
            <v>10</v>
          </cell>
          <cell r="L466">
            <v>43132</v>
          </cell>
          <cell r="M466">
            <v>42948</v>
          </cell>
          <cell r="N466">
            <v>42948</v>
          </cell>
          <cell r="O466">
            <v>42948</v>
          </cell>
          <cell r="P466">
            <v>51579</v>
          </cell>
          <cell r="Q466">
            <v>42948</v>
          </cell>
          <cell r="R466">
            <v>9</v>
          </cell>
          <cell r="S466">
            <v>43132</v>
          </cell>
          <cell r="T466" t="str">
            <v>ROJAS ESPINOZA MELISSA DEL CARMEN</v>
          </cell>
          <cell r="U466" t="str">
            <v>MROJA134@CODELCO.CL</v>
          </cell>
          <cell r="V466" t="str">
            <v>Gerencia de Operaciones</v>
          </cell>
          <cell r="W466" t="str">
            <v>Sptcia. Operacion Area Hum.</v>
          </cell>
          <cell r="X466" t="str">
            <v>Sx Ew y Patio de Embarque</v>
          </cell>
          <cell r="Y466" t="str">
            <v>Operativo</v>
          </cell>
          <cell r="Z466" t="str">
            <v>Indefinido</v>
          </cell>
        </row>
        <row r="467">
          <cell r="A467" t="str">
            <v>73743</v>
          </cell>
          <cell r="B467" t="str">
            <v>013328107K</v>
          </cell>
          <cell r="C467" t="str">
            <v>MADARIAGA FUENTES IGNACIO DEL CARMEN</v>
          </cell>
          <cell r="D467" t="str">
            <v>Operador Mina</v>
          </cell>
          <cell r="E467" t="str">
            <v>Oper. 7X7 12 Hrs TAB G04</v>
          </cell>
          <cell r="F467" t="str">
            <v>Masculino</v>
          </cell>
          <cell r="G467" t="str">
            <v>IMADA002@CODELCO.CL</v>
          </cell>
          <cell r="H467">
            <v>48</v>
          </cell>
          <cell r="I467">
            <v>43773</v>
          </cell>
          <cell r="J467">
            <v>43773</v>
          </cell>
          <cell r="K467" t="str">
            <v>10</v>
          </cell>
          <cell r="L467">
            <v>44682</v>
          </cell>
          <cell r="M467">
            <v>43773</v>
          </cell>
          <cell r="N467">
            <v>43773</v>
          </cell>
          <cell r="O467">
            <v>43773</v>
          </cell>
          <cell r="P467">
            <v>43773</v>
          </cell>
          <cell r="Q467">
            <v>43773</v>
          </cell>
          <cell r="R467">
            <v>7</v>
          </cell>
          <cell r="S467">
            <v>43773</v>
          </cell>
          <cell r="T467" t="str">
            <v>Sin asignar</v>
          </cell>
          <cell r="U467" t="str">
            <v>Sin asignar</v>
          </cell>
          <cell r="V467" t="str">
            <v>Gerencia de Operaciones</v>
          </cell>
          <cell r="W467" t="str">
            <v>Sptcia. Operacion Mina</v>
          </cell>
          <cell r="X467" t="str">
            <v>Sptcia. Operacion Mina</v>
          </cell>
          <cell r="Y467" t="str">
            <v>Operativo</v>
          </cell>
          <cell r="Z467" t="str">
            <v>Indefinido</v>
          </cell>
        </row>
        <row r="468">
          <cell r="A468" t="str">
            <v>74096</v>
          </cell>
          <cell r="B468" t="str">
            <v>190275671</v>
          </cell>
          <cell r="C468" t="str">
            <v>RUTE LUENGO ERWIN ANDRES</v>
          </cell>
          <cell r="D468" t="str">
            <v>Ingeniero Planif. Electrico</v>
          </cell>
          <cell r="E468" t="str">
            <v>Prof. 4X3 12 hrs</v>
          </cell>
          <cell r="F468" t="str">
            <v>Masculino</v>
          </cell>
          <cell r="G468" t="str">
            <v>ERUTE001@CODELCO.CL</v>
          </cell>
          <cell r="H468">
            <v>31</v>
          </cell>
          <cell r="I468">
            <v>44197</v>
          </cell>
          <cell r="J468">
            <v>46082</v>
          </cell>
          <cell r="K468" t="str">
            <v>8</v>
          </cell>
          <cell r="L468">
            <v>46082</v>
          </cell>
          <cell r="M468">
            <v>44197</v>
          </cell>
          <cell r="N468">
            <v>44197</v>
          </cell>
          <cell r="O468">
            <v>45474</v>
          </cell>
          <cell r="P468">
            <v>46770</v>
          </cell>
          <cell r="Q468">
            <v>43102</v>
          </cell>
          <cell r="R468">
            <v>5</v>
          </cell>
          <cell r="S468">
            <v>44197</v>
          </cell>
          <cell r="T468" t="str">
            <v>DONOSO NOGALES PEDRO ARNOLDO</v>
          </cell>
          <cell r="U468" t="str">
            <v>PDONO007@CODELCO.CL</v>
          </cell>
          <cell r="V468" t="str">
            <v>Gerencia de Mantenimiento</v>
          </cell>
          <cell r="W468" t="str">
            <v>Sptcia. Planificacion Mantenimiento</v>
          </cell>
          <cell r="X468" t="str">
            <v>Sptcia. Planificacion Mantenimiento</v>
          </cell>
          <cell r="Y468" t="str">
            <v>Profesional</v>
          </cell>
          <cell r="Z468" t="str">
            <v>Indefinido</v>
          </cell>
        </row>
        <row r="469">
          <cell r="A469" t="str">
            <v>74627</v>
          </cell>
          <cell r="B469" t="str">
            <v>018824999K</v>
          </cell>
          <cell r="C469" t="str">
            <v>VELIZ LOPEZ ERIC FELIPE PATRICIO</v>
          </cell>
          <cell r="D469" t="str">
            <v>Ingeniero Líder Despacho Mina</v>
          </cell>
          <cell r="E469" t="str">
            <v>Prof. 4X3 12 hrs</v>
          </cell>
          <cell r="F469" t="str">
            <v>Masculino</v>
          </cell>
          <cell r="G469" t="str">
            <v>EVELI007@CODELCO.CL</v>
          </cell>
          <cell r="H469">
            <v>31</v>
          </cell>
          <cell r="I469">
            <v>43836</v>
          </cell>
          <cell r="J469">
            <v>43836</v>
          </cell>
          <cell r="K469" t="str">
            <v>#</v>
          </cell>
          <cell r="L469">
            <v>45536</v>
          </cell>
          <cell r="M469">
            <v>43836</v>
          </cell>
          <cell r="N469">
            <v>43836</v>
          </cell>
          <cell r="O469">
            <v>43836</v>
          </cell>
          <cell r="P469">
            <v>53537</v>
          </cell>
          <cell r="Q469">
            <v>43108</v>
          </cell>
          <cell r="R469">
            <v>6</v>
          </cell>
          <cell r="S469">
            <v>43836</v>
          </cell>
          <cell r="T469" t="str">
            <v>VASQUEZ FLECK FRANCISCO JAVIER</v>
          </cell>
          <cell r="U469" t="str">
            <v>FVASQ009@CODELCO.CL</v>
          </cell>
          <cell r="V469" t="str">
            <v>Gerencia de Operaciones</v>
          </cell>
          <cell r="W469" t="str">
            <v>Sptcia. Ingenieria y Gestion Mina</v>
          </cell>
          <cell r="X469" t="str">
            <v>Sptcia. Ingenieria y Gestion Mina</v>
          </cell>
          <cell r="Y469" t="str">
            <v>Profesional</v>
          </cell>
          <cell r="Z469" t="str">
            <v>Indefinido</v>
          </cell>
        </row>
        <row r="470">
          <cell r="A470" t="str">
            <v>74688</v>
          </cell>
          <cell r="B470" t="str">
            <v>176132965</v>
          </cell>
          <cell r="C470" t="str">
            <v>CORREA MENDOZA CAMILA</v>
          </cell>
          <cell r="D470" t="str">
            <v>Ing. Turno Op. Area Humeda</v>
          </cell>
          <cell r="E470" t="str">
            <v>Oper. 7X7 12 Hrs TAB G03</v>
          </cell>
          <cell r="F470" t="str">
            <v>Femenino</v>
          </cell>
          <cell r="G470" t="str">
            <v>CCORR014@CODELCO.CL</v>
          </cell>
          <cell r="H470">
            <v>35</v>
          </cell>
          <cell r="I470">
            <v>45236</v>
          </cell>
          <cell r="J470">
            <v>45236</v>
          </cell>
          <cell r="K470" t="str">
            <v>8</v>
          </cell>
          <cell r="L470">
            <v>45236</v>
          </cell>
          <cell r="M470">
            <v>45236</v>
          </cell>
          <cell r="N470">
            <v>45236</v>
          </cell>
          <cell r="O470">
            <v>45236</v>
          </cell>
          <cell r="P470">
            <v>55115</v>
          </cell>
          <cell r="Q470">
            <v>45236</v>
          </cell>
          <cell r="R470">
            <v>3</v>
          </cell>
          <cell r="S470">
            <v>45236</v>
          </cell>
          <cell r="T470" t="str">
            <v>RETAMAL ORTIZ JORGE</v>
          </cell>
          <cell r="U470" t="str">
            <v>JRETA003@CODELCO.CL</v>
          </cell>
          <cell r="V470" t="str">
            <v>Gerencia de Operaciones</v>
          </cell>
          <cell r="W470" t="str">
            <v>Sptcia. Operacion Area Hum.</v>
          </cell>
          <cell r="X470" t="str">
            <v>Sptcia. Operacion Area Hum.</v>
          </cell>
          <cell r="Y470" t="str">
            <v>Profesional</v>
          </cell>
          <cell r="Z470" t="str">
            <v>Indefinido</v>
          </cell>
        </row>
        <row r="471">
          <cell r="A471" t="str">
            <v>74863</v>
          </cell>
          <cell r="B471" t="str">
            <v>171138477</v>
          </cell>
          <cell r="C471" t="str">
            <v>MONARDEZ ARAYA LUIS EDUARDO</v>
          </cell>
          <cell r="D471" t="str">
            <v>Operador Planta AH</v>
          </cell>
          <cell r="E471" t="str">
            <v>Oper. 7X7 12 Hrs TAB G02</v>
          </cell>
          <cell r="F471" t="str">
            <v>Masculino</v>
          </cell>
          <cell r="G471" t="str">
            <v>LMONA003@CODELCO.CL</v>
          </cell>
          <cell r="H471">
            <v>37</v>
          </cell>
          <cell r="I471">
            <v>43344</v>
          </cell>
          <cell r="J471">
            <v>43344</v>
          </cell>
          <cell r="K471" t="str">
            <v>10</v>
          </cell>
          <cell r="L471">
            <v>44682</v>
          </cell>
          <cell r="M471">
            <v>43344</v>
          </cell>
          <cell r="N471">
            <v>43344</v>
          </cell>
          <cell r="O471">
            <v>43344</v>
          </cell>
          <cell r="P471">
            <v>56349</v>
          </cell>
          <cell r="Q471">
            <v>43150</v>
          </cell>
          <cell r="R471">
            <v>8</v>
          </cell>
          <cell r="S471">
            <v>43344</v>
          </cell>
          <cell r="T471" t="str">
            <v>CORREA MENDOZA CAMILA</v>
          </cell>
          <cell r="U471" t="str">
            <v>CCORR014@CODELCO.CL</v>
          </cell>
          <cell r="V471" t="str">
            <v>Gerencia de Operaciones</v>
          </cell>
          <cell r="W471" t="str">
            <v>Sptcia. Operacion Area Hum.</v>
          </cell>
          <cell r="X471" t="str">
            <v>Sx Ew y Patio de Embarque</v>
          </cell>
          <cell r="Y471" t="str">
            <v>Operativo</v>
          </cell>
          <cell r="Z471" t="str">
            <v>Indefinido</v>
          </cell>
        </row>
        <row r="472">
          <cell r="A472" t="str">
            <v>74952</v>
          </cell>
          <cell r="B472" t="str">
            <v>116109646</v>
          </cell>
          <cell r="C472" t="str">
            <v>CORTES MAMANI MIGUEL ANGEL</v>
          </cell>
          <cell r="D472" t="str">
            <v>Ingeniero Confiabilidad</v>
          </cell>
          <cell r="E472" t="str">
            <v>Prof. 4X3 12 hrs</v>
          </cell>
          <cell r="F472" t="str">
            <v>Masculino</v>
          </cell>
          <cell r="G472" t="str">
            <v>MCORT083@CODELCO.CL</v>
          </cell>
          <cell r="H472">
            <v>56</v>
          </cell>
          <cell r="I472">
            <v>43178</v>
          </cell>
          <cell r="J472">
            <v>44927</v>
          </cell>
          <cell r="K472" t="str">
            <v>8</v>
          </cell>
          <cell r="L472">
            <v>45931</v>
          </cell>
          <cell r="M472">
            <v>43178</v>
          </cell>
          <cell r="N472">
            <v>44927</v>
          </cell>
          <cell r="O472">
            <v>43178</v>
          </cell>
          <cell r="P472">
            <v>49391</v>
          </cell>
          <cell r="Q472">
            <v>43178</v>
          </cell>
          <cell r="R472">
            <v>8</v>
          </cell>
          <cell r="S472">
            <v>43178</v>
          </cell>
          <cell r="T472" t="str">
            <v>HEMMELMANN FUENTES NATHALIE</v>
          </cell>
          <cell r="U472" t="str">
            <v>NHEMM001@CODELCO.CL</v>
          </cell>
          <cell r="V472" t="str">
            <v>Gerencia de Mantenimiento</v>
          </cell>
          <cell r="W472" t="str">
            <v>Superintendencia de Confiabilidad</v>
          </cell>
          <cell r="X472" t="str">
            <v>Superintendencia de Confiabilidad</v>
          </cell>
          <cell r="Y472" t="str">
            <v>Profesional</v>
          </cell>
          <cell r="Z472" t="str">
            <v>Indefinido</v>
          </cell>
        </row>
        <row r="473">
          <cell r="A473" t="str">
            <v>75574</v>
          </cell>
          <cell r="B473" t="str">
            <v>163569884</v>
          </cell>
          <cell r="C473" t="str">
            <v>MILLAN PEREZ MARCELO RODRIGO</v>
          </cell>
          <cell r="D473" t="str">
            <v>Ingeniero Turno Mantenimiento A.H.</v>
          </cell>
          <cell r="E473" t="str">
            <v>Oper. 7X7 12 Hrs TAB G04</v>
          </cell>
          <cell r="F473" t="str">
            <v>Masculino</v>
          </cell>
          <cell r="G473" t="str">
            <v>MMILL008@CODELCO.CL</v>
          </cell>
          <cell r="H473">
            <v>40</v>
          </cell>
          <cell r="I473">
            <v>43313</v>
          </cell>
          <cell r="J473">
            <v>43313</v>
          </cell>
          <cell r="K473" t="str">
            <v>8</v>
          </cell>
          <cell r="L473">
            <v>45047</v>
          </cell>
          <cell r="M473">
            <v>43313</v>
          </cell>
          <cell r="N473">
            <v>43313</v>
          </cell>
          <cell r="O473">
            <v>43313</v>
          </cell>
          <cell r="P473">
            <v>55310</v>
          </cell>
          <cell r="Q473">
            <v>43313</v>
          </cell>
          <cell r="R473">
            <v>8</v>
          </cell>
          <cell r="S473">
            <v>43313</v>
          </cell>
          <cell r="T473" t="str">
            <v>SILVA LARRAIN CESAR</v>
          </cell>
          <cell r="U473" t="str">
            <v>CSILV021@CODELCO.CL</v>
          </cell>
          <cell r="V473" t="str">
            <v>Gerencia de Mantenimiento</v>
          </cell>
          <cell r="W473" t="str">
            <v>Sptcia. Mtto. Area Humeda</v>
          </cell>
          <cell r="X473" t="str">
            <v>Sptcia. Mtto. Area Humeda</v>
          </cell>
          <cell r="Y473" t="str">
            <v>Profesional</v>
          </cell>
          <cell r="Z473" t="str">
            <v>Indefinido</v>
          </cell>
        </row>
        <row r="474">
          <cell r="A474" t="str">
            <v>75630</v>
          </cell>
          <cell r="B474" t="str">
            <v>161225452</v>
          </cell>
          <cell r="C474" t="str">
            <v>LUENGO JIMENEZ VICTOR ALFONSO</v>
          </cell>
          <cell r="D474" t="str">
            <v>Director Ctrl de Gestión e Inversiones</v>
          </cell>
          <cell r="E474" t="str">
            <v>Prof. 4X3 12 hrs</v>
          </cell>
          <cell r="F474" t="str">
            <v>Masculino</v>
          </cell>
          <cell r="G474" t="str">
            <v>VLUEN001@CODELCO.CL</v>
          </cell>
          <cell r="H474">
            <v>40</v>
          </cell>
          <cell r="I474">
            <v>45748</v>
          </cell>
          <cell r="J474">
            <v>45748</v>
          </cell>
          <cell r="K474" t="str">
            <v>4</v>
          </cell>
          <cell r="L474">
            <v>45748</v>
          </cell>
          <cell r="M474">
            <v>45748</v>
          </cell>
          <cell r="N474">
            <v>45748</v>
          </cell>
          <cell r="O474">
            <v>45748</v>
          </cell>
          <cell r="P474">
            <v>54928</v>
          </cell>
          <cell r="Q474">
            <v>43333</v>
          </cell>
          <cell r="R474">
            <v>1</v>
          </cell>
          <cell r="S474">
            <v>45748</v>
          </cell>
          <cell r="T474" t="str">
            <v>BURGOS ARRATIA FRANCISCO EDUARDO</v>
          </cell>
          <cell r="U474" t="str">
            <v>FBURGOS@CODELCO.CL</v>
          </cell>
          <cell r="V474" t="str">
            <v>Gerencia de Administración</v>
          </cell>
          <cell r="W474" t="str">
            <v>Direccion Ctrl. Gestion y Presupuesto</v>
          </cell>
          <cell r="X474" t="str">
            <v>Direccion Ctrl. Gestion y Presupuesto</v>
          </cell>
          <cell r="Y474" t="str">
            <v>Profesional</v>
          </cell>
          <cell r="Z474" t="str">
            <v>Indefinido</v>
          </cell>
        </row>
        <row r="475">
          <cell r="A475" t="str">
            <v>75641</v>
          </cell>
          <cell r="B475" t="str">
            <v>012338833K</v>
          </cell>
          <cell r="C475" t="str">
            <v>CERON YAÑEZ BEATRIZ ALEJANDRA</v>
          </cell>
          <cell r="D475" t="str">
            <v>Director de Riesgo y Control</v>
          </cell>
          <cell r="E475" t="str">
            <v>Prof. 4X3 12 hrs</v>
          </cell>
          <cell r="F475" t="str">
            <v>Femenino</v>
          </cell>
          <cell r="G475" t="str">
            <v>BCERO001@CODELCO.CL</v>
          </cell>
          <cell r="H475">
            <v>53</v>
          </cell>
          <cell r="I475">
            <v>45444</v>
          </cell>
          <cell r="J475">
            <v>45444</v>
          </cell>
          <cell r="K475" t="str">
            <v>4</v>
          </cell>
          <cell r="L475">
            <v>45444</v>
          </cell>
          <cell r="M475">
            <v>45444</v>
          </cell>
          <cell r="N475">
            <v>45444</v>
          </cell>
          <cell r="O475">
            <v>45444</v>
          </cell>
          <cell r="P475">
            <v>48864</v>
          </cell>
          <cell r="Q475">
            <v>43344</v>
          </cell>
          <cell r="R475">
            <v>2</v>
          </cell>
          <cell r="S475">
            <v>45444</v>
          </cell>
          <cell r="T475" t="str">
            <v>CABRERA CORREA CLAUDIA ALEJANDRA</v>
          </cell>
          <cell r="U475" t="str">
            <v>CLAUDIA.CABRERA@CODE</v>
          </cell>
          <cell r="V475" t="str">
            <v>Direccion de Riesgo y Control</v>
          </cell>
          <cell r="W475" t="str">
            <v>Sin asignar</v>
          </cell>
          <cell r="X475" t="str">
            <v>Direccion de Riesgo y Control</v>
          </cell>
          <cell r="Y475" t="str">
            <v>Profesional</v>
          </cell>
          <cell r="Z475" t="str">
            <v>Indefinido</v>
          </cell>
        </row>
        <row r="476">
          <cell r="A476" t="str">
            <v>75662</v>
          </cell>
          <cell r="B476" t="str">
            <v>160378123</v>
          </cell>
          <cell r="C476" t="str">
            <v>RIQUELME ROMERO YEANETTE CATHERINE</v>
          </cell>
          <cell r="D476" t="str">
            <v>Ing. Especialista Inver. y Reporting</v>
          </cell>
          <cell r="E476" t="str">
            <v>Prof. 4X3 12 hrs</v>
          </cell>
          <cell r="F476" t="str">
            <v>Femenino</v>
          </cell>
          <cell r="G476" t="str">
            <v>YRIQUELM@CODELCO.CL</v>
          </cell>
          <cell r="H476">
            <v>40</v>
          </cell>
          <cell r="I476">
            <v>43525</v>
          </cell>
          <cell r="J476">
            <v>43525</v>
          </cell>
          <cell r="K476" t="str">
            <v>6</v>
          </cell>
          <cell r="L476">
            <v>43525</v>
          </cell>
          <cell r="M476">
            <v>43525</v>
          </cell>
          <cell r="N476">
            <v>43525</v>
          </cell>
          <cell r="O476">
            <v>43525</v>
          </cell>
          <cell r="P476">
            <v>53198</v>
          </cell>
          <cell r="Q476">
            <v>43346</v>
          </cell>
          <cell r="R476">
            <v>7</v>
          </cell>
          <cell r="S476">
            <v>43525</v>
          </cell>
          <cell r="T476" t="str">
            <v>LUENGO JIMENEZ VICTOR ALFONSO</v>
          </cell>
          <cell r="U476" t="str">
            <v>VLUEN001@CODELCO.CL</v>
          </cell>
          <cell r="V476" t="str">
            <v>Gerencia de Administración</v>
          </cell>
          <cell r="W476" t="str">
            <v>Direccion Ctrl. Gestion y Presupuesto</v>
          </cell>
          <cell r="X476" t="str">
            <v>Gestion de Inversiones</v>
          </cell>
          <cell r="Y476" t="str">
            <v>Profesional</v>
          </cell>
          <cell r="Z476" t="str">
            <v>Indefinido</v>
          </cell>
        </row>
        <row r="477">
          <cell r="A477" t="str">
            <v>75746</v>
          </cell>
          <cell r="B477" t="str">
            <v>224085931</v>
          </cell>
          <cell r="C477" t="str">
            <v>CONDOR APOLINARIO ROXANG</v>
          </cell>
          <cell r="D477" t="str">
            <v>Operador/a Ripios</v>
          </cell>
          <cell r="E477" t="str">
            <v>Oper. 7X7 12 Hrs TAB G02</v>
          </cell>
          <cell r="F477" t="str">
            <v>Femenino</v>
          </cell>
          <cell r="G477" t="str">
            <v>RCORD012@CODELCO.CL</v>
          </cell>
          <cell r="H477">
            <v>32</v>
          </cell>
          <cell r="I477">
            <v>43864</v>
          </cell>
          <cell r="J477">
            <v>43402</v>
          </cell>
          <cell r="K477" t="str">
            <v>#</v>
          </cell>
          <cell r="L477">
            <v>45413</v>
          </cell>
          <cell r="M477">
            <v>43864</v>
          </cell>
          <cell r="N477">
            <v>43402</v>
          </cell>
          <cell r="O477">
            <v>43402</v>
          </cell>
          <cell r="P477">
            <v>43864</v>
          </cell>
          <cell r="Q477">
            <v>43864</v>
          </cell>
          <cell r="R477">
            <v>6</v>
          </cell>
          <cell r="S477">
            <v>43864</v>
          </cell>
          <cell r="T477" t="str">
            <v>Sin asignar</v>
          </cell>
          <cell r="U477" t="str">
            <v>Sin asignar</v>
          </cell>
          <cell r="V477" t="str">
            <v>Gerencia de Operaciones</v>
          </cell>
          <cell r="W477" t="str">
            <v>Sptcia. Operacion Area Seca</v>
          </cell>
          <cell r="X477" t="str">
            <v>Sptcia. Operacion Area Seca</v>
          </cell>
          <cell r="Y477" t="str">
            <v>Operativo</v>
          </cell>
          <cell r="Z477" t="str">
            <v>Indefinido</v>
          </cell>
        </row>
        <row r="478">
          <cell r="A478" t="str">
            <v>75749</v>
          </cell>
          <cell r="B478" t="str">
            <v>164585786</v>
          </cell>
          <cell r="C478" t="str">
            <v>MORALES JARA GEORGINA</v>
          </cell>
          <cell r="D478" t="str">
            <v>Operador/a Ripios</v>
          </cell>
          <cell r="E478" t="str">
            <v>Oper. 7X7 12 Hrs TAB G04</v>
          </cell>
          <cell r="F478" t="str">
            <v>Femenino</v>
          </cell>
          <cell r="G478" t="str">
            <v>GMORA018@CODELCO.CL</v>
          </cell>
          <cell r="H478">
            <v>41</v>
          </cell>
          <cell r="I478">
            <v>43864</v>
          </cell>
          <cell r="J478">
            <v>43402</v>
          </cell>
          <cell r="K478" t="str">
            <v>#</v>
          </cell>
          <cell r="L478">
            <v>44682</v>
          </cell>
          <cell r="M478">
            <v>43864</v>
          </cell>
          <cell r="N478">
            <v>43402</v>
          </cell>
          <cell r="O478">
            <v>43402</v>
          </cell>
          <cell r="P478">
            <v>43864</v>
          </cell>
          <cell r="Q478">
            <v>43864</v>
          </cell>
          <cell r="R478">
            <v>6</v>
          </cell>
          <cell r="S478">
            <v>43864</v>
          </cell>
          <cell r="T478" t="str">
            <v>VIDELA GONZALEZ HERNAN MARCELO</v>
          </cell>
          <cell r="U478" t="str">
            <v>HVIDELA@CODELCO.CL</v>
          </cell>
          <cell r="V478" t="str">
            <v>Gerencia de Operaciones</v>
          </cell>
          <cell r="W478" t="str">
            <v>Sptcia. Operacion Area Seca</v>
          </cell>
          <cell r="X478" t="str">
            <v>Sptcia. Operacion Area Seca</v>
          </cell>
          <cell r="Y478" t="str">
            <v>Operativo</v>
          </cell>
          <cell r="Z478" t="str">
            <v>Indefinido</v>
          </cell>
        </row>
        <row r="479">
          <cell r="A479" t="str">
            <v>75784</v>
          </cell>
          <cell r="B479" t="str">
            <v>182724475</v>
          </cell>
          <cell r="C479" t="str">
            <v>VENEGAS MILLONES GABRIELA PATRICIA</v>
          </cell>
          <cell r="D479" t="str">
            <v>Director de Excelencia Operacional</v>
          </cell>
          <cell r="E479" t="str">
            <v>Prof. 4X3 12 hrs</v>
          </cell>
          <cell r="F479" t="str">
            <v>Femenino</v>
          </cell>
          <cell r="G479" t="str">
            <v>GVENE001@CODELCO.CL</v>
          </cell>
          <cell r="H479">
            <v>33</v>
          </cell>
          <cell r="I479">
            <v>44835</v>
          </cell>
          <cell r="J479">
            <v>45444</v>
          </cell>
          <cell r="K479" t="str">
            <v>4</v>
          </cell>
          <cell r="L479">
            <v>45444</v>
          </cell>
          <cell r="M479">
            <v>44835</v>
          </cell>
          <cell r="N479">
            <v>44835</v>
          </cell>
          <cell r="O479">
            <v>45444</v>
          </cell>
          <cell r="P479">
            <v>55965</v>
          </cell>
          <cell r="Q479">
            <v>43416</v>
          </cell>
          <cell r="R479">
            <v>4</v>
          </cell>
          <cell r="S479">
            <v>44835</v>
          </cell>
          <cell r="T479" t="str">
            <v>CABRERA CORREA CLAUDIA ALEJANDRA</v>
          </cell>
          <cell r="U479" t="str">
            <v>CLAUDIA.CABRERA@CODE</v>
          </cell>
          <cell r="V479" t="str">
            <v>Direccion de Excelencia Operacional</v>
          </cell>
          <cell r="W479" t="str">
            <v>Sin asignar</v>
          </cell>
          <cell r="X479" t="str">
            <v>Direccion de Excelencia Operacional</v>
          </cell>
          <cell r="Y479" t="str">
            <v>Profesional</v>
          </cell>
          <cell r="Z479" t="str">
            <v>Indefinido</v>
          </cell>
        </row>
        <row r="480">
          <cell r="A480" t="str">
            <v>75810</v>
          </cell>
          <cell r="B480" t="str">
            <v>184133423</v>
          </cell>
          <cell r="C480" t="str">
            <v>SALAZAR CARRASCO CAROLINA VALENTINA</v>
          </cell>
          <cell r="D480" t="str">
            <v>Ingeniero Control de Gestion</v>
          </cell>
          <cell r="E480" t="str">
            <v>Prof. 4X3 12 hrs</v>
          </cell>
          <cell r="F480" t="str">
            <v>Femenino</v>
          </cell>
          <cell r="G480" t="str">
            <v>CSALA039@CODELCO.CL</v>
          </cell>
          <cell r="H480">
            <v>32</v>
          </cell>
          <cell r="I480">
            <v>45870</v>
          </cell>
          <cell r="J480">
            <v>45870</v>
          </cell>
          <cell r="K480" t="str">
            <v>7</v>
          </cell>
          <cell r="L480">
            <v>45870</v>
          </cell>
          <cell r="M480">
            <v>45870</v>
          </cell>
          <cell r="N480">
            <v>45870</v>
          </cell>
          <cell r="O480">
            <v>45870</v>
          </cell>
          <cell r="P480">
            <v>56255</v>
          </cell>
          <cell r="Q480">
            <v>43437</v>
          </cell>
          <cell r="R480">
            <v>1</v>
          </cell>
          <cell r="S480">
            <v>45870</v>
          </cell>
          <cell r="T480" t="str">
            <v>Sin asignar</v>
          </cell>
          <cell r="U480" t="str">
            <v>Sin asignar</v>
          </cell>
          <cell r="V480" t="str">
            <v>Gerencia de Administración</v>
          </cell>
          <cell r="W480" t="str">
            <v>Direccion Ctrl. Gestion y Presupuesto</v>
          </cell>
          <cell r="X480" t="str">
            <v>GOP Ctrl. Gestion</v>
          </cell>
          <cell r="Y480" t="str">
            <v>Profesional</v>
          </cell>
          <cell r="Z480" t="str">
            <v>Indefinido</v>
          </cell>
        </row>
        <row r="481">
          <cell r="A481" t="str">
            <v>76236</v>
          </cell>
          <cell r="B481" t="str">
            <v>018103792K</v>
          </cell>
          <cell r="C481" t="str">
            <v>OPORTUS Astete ZINTHIA PAOLA</v>
          </cell>
          <cell r="D481" t="str">
            <v>Ingeniero Control Gestión</v>
          </cell>
          <cell r="E481" t="str">
            <v>Prof. 4X3 12 hrs</v>
          </cell>
          <cell r="F481" t="str">
            <v>Femenino</v>
          </cell>
          <cell r="G481" t="str">
            <v>ZOPOR001@CODELCO.CL</v>
          </cell>
          <cell r="H481">
            <v>33</v>
          </cell>
          <cell r="I481">
            <v>45978</v>
          </cell>
          <cell r="J481">
            <v>45978</v>
          </cell>
          <cell r="K481" t="str">
            <v>6</v>
          </cell>
          <cell r="L481">
            <v>45978</v>
          </cell>
          <cell r="M481">
            <v>45978</v>
          </cell>
          <cell r="N481">
            <v>45978</v>
          </cell>
          <cell r="O481">
            <v>45978</v>
          </cell>
          <cell r="P481">
            <v>55840</v>
          </cell>
          <cell r="Q481">
            <v>43472</v>
          </cell>
          <cell r="R481">
            <v>0</v>
          </cell>
          <cell r="S481">
            <v>45978</v>
          </cell>
          <cell r="T481" t="str">
            <v>Sin asignar</v>
          </cell>
          <cell r="U481" t="str">
            <v>Sin asignar</v>
          </cell>
          <cell r="V481" t="str">
            <v>Gerencia de Administración</v>
          </cell>
          <cell r="W481" t="str">
            <v>Direccion Ctrl. Gestion y Presupuesto</v>
          </cell>
          <cell r="X481" t="str">
            <v>GOP Ctrl. Gestion</v>
          </cell>
          <cell r="Y481" t="str">
            <v>Profesional</v>
          </cell>
          <cell r="Z481" t="str">
            <v>Indefinido</v>
          </cell>
        </row>
        <row r="482">
          <cell r="A482" t="str">
            <v>76750</v>
          </cell>
          <cell r="B482" t="str">
            <v>135348287</v>
          </cell>
          <cell r="C482" t="str">
            <v>CASTRO PASTEN RICARDO FABIAN</v>
          </cell>
          <cell r="D482" t="str">
            <v>Operador Mina</v>
          </cell>
          <cell r="E482" t="str">
            <v>Oper. 7X7 12 Hrs TAB G04</v>
          </cell>
          <cell r="F482" t="str">
            <v>Masculino</v>
          </cell>
          <cell r="G482" t="str">
            <v>RCAST099@CODELCO.CL</v>
          </cell>
          <cell r="H482">
            <v>48</v>
          </cell>
          <cell r="I482">
            <v>43507</v>
          </cell>
          <cell r="J482">
            <v>43507</v>
          </cell>
          <cell r="K482" t="str">
            <v>10</v>
          </cell>
          <cell r="L482">
            <v>45413</v>
          </cell>
          <cell r="M482">
            <v>43507</v>
          </cell>
          <cell r="N482">
            <v>43709</v>
          </cell>
          <cell r="O482">
            <v>43507</v>
          </cell>
          <cell r="P482">
            <v>57489</v>
          </cell>
          <cell r="Q482">
            <v>43507</v>
          </cell>
          <cell r="R482">
            <v>7</v>
          </cell>
          <cell r="S482">
            <v>43709</v>
          </cell>
          <cell r="T482" t="str">
            <v>Sin asignar</v>
          </cell>
          <cell r="U482" t="str">
            <v>Sin asignar</v>
          </cell>
          <cell r="V482" t="str">
            <v>Gerencia de Operaciones</v>
          </cell>
          <cell r="W482" t="str">
            <v>Sptcia. Operacion Mina</v>
          </cell>
          <cell r="X482" t="str">
            <v>Sptcia. Operacion Mina</v>
          </cell>
          <cell r="Y482" t="str">
            <v>Operativo</v>
          </cell>
          <cell r="Z482" t="str">
            <v>Indefinido</v>
          </cell>
        </row>
        <row r="483">
          <cell r="A483" t="str">
            <v>76911</v>
          </cell>
          <cell r="B483" t="str">
            <v>144827376</v>
          </cell>
          <cell r="C483" t="str">
            <v>BARRERA VILCA GLORIA ALEJANDRA</v>
          </cell>
          <cell r="D483" t="str">
            <v>Operador Mina</v>
          </cell>
          <cell r="E483" t="str">
            <v>Oper. 7X7 12 Hrs TAB G02</v>
          </cell>
          <cell r="F483" t="str">
            <v>Femenino</v>
          </cell>
          <cell r="G483" t="str">
            <v>GBARR021@CODELCO.CL</v>
          </cell>
          <cell r="H483">
            <v>50</v>
          </cell>
          <cell r="I483">
            <v>45992</v>
          </cell>
          <cell r="J483">
            <v>45992</v>
          </cell>
          <cell r="K483" t="str">
            <v>10</v>
          </cell>
          <cell r="L483">
            <v>45992</v>
          </cell>
          <cell r="M483">
            <v>45992</v>
          </cell>
          <cell r="N483">
            <v>45992</v>
          </cell>
          <cell r="O483">
            <v>45992</v>
          </cell>
          <cell r="P483">
            <v>49515</v>
          </cell>
          <cell r="Q483">
            <v>43551</v>
          </cell>
          <cell r="R483">
            <v>1</v>
          </cell>
          <cell r="S483">
            <v>45992</v>
          </cell>
          <cell r="T483" t="str">
            <v>ORTEGA ORTUYA CARLOS</v>
          </cell>
          <cell r="U483" t="str">
            <v>CORTE009@CODELCO.CL</v>
          </cell>
          <cell r="V483" t="str">
            <v>Gerencia de Operaciones</v>
          </cell>
          <cell r="W483" t="str">
            <v>Sptcia. Operacion Mina</v>
          </cell>
          <cell r="X483" t="str">
            <v>Sptcia. Operacion Mina</v>
          </cell>
          <cell r="Y483" t="str">
            <v>Operativo</v>
          </cell>
          <cell r="Z483" t="str">
            <v>Indefinido</v>
          </cell>
        </row>
        <row r="484">
          <cell r="A484" t="str">
            <v>77249</v>
          </cell>
          <cell r="B484" t="str">
            <v>134578890</v>
          </cell>
          <cell r="C484" t="str">
            <v>DIAZ MENESES FRANCISCO ANDRES</v>
          </cell>
          <cell r="D484" t="str">
            <v>Ingeniero Especialista Gestión Terceros</v>
          </cell>
          <cell r="E484" t="str">
            <v>Prof. 4X3 12 hrs</v>
          </cell>
          <cell r="F484" t="str">
            <v>Masculino</v>
          </cell>
          <cell r="G484" t="str">
            <v>FDIAZ054@CODELCO.CL</v>
          </cell>
          <cell r="H484">
            <v>47</v>
          </cell>
          <cell r="I484">
            <v>43633</v>
          </cell>
          <cell r="J484">
            <v>43633</v>
          </cell>
          <cell r="K484" t="str">
            <v>6</v>
          </cell>
          <cell r="L484">
            <v>43633</v>
          </cell>
          <cell r="M484">
            <v>43633</v>
          </cell>
          <cell r="N484">
            <v>43633</v>
          </cell>
          <cell r="O484">
            <v>43633</v>
          </cell>
          <cell r="P484">
            <v>52469</v>
          </cell>
          <cell r="Q484">
            <v>43633</v>
          </cell>
          <cell r="R484">
            <v>6</v>
          </cell>
          <cell r="S484">
            <v>43633</v>
          </cell>
          <cell r="T484" t="str">
            <v>Sin asignar</v>
          </cell>
          <cell r="U484" t="str">
            <v>Sin asignar</v>
          </cell>
          <cell r="V484" t="str">
            <v>Gerencia de Administración</v>
          </cell>
          <cell r="W484" t="str">
            <v>Direccion Gestion y Fiscalizacion EECC</v>
          </cell>
          <cell r="X484" t="str">
            <v>Direccion Gestion y Fiscalizacion EECC</v>
          </cell>
          <cell r="Y484" t="str">
            <v>Profesional</v>
          </cell>
          <cell r="Z484" t="str">
            <v>Indefinido</v>
          </cell>
        </row>
        <row r="485">
          <cell r="A485" t="str">
            <v>77286</v>
          </cell>
          <cell r="B485" t="str">
            <v>165598997</v>
          </cell>
          <cell r="C485" t="str">
            <v>DIAZ GONZALEZ CIRO CRISTOFER</v>
          </cell>
          <cell r="D485" t="str">
            <v>Ingeniero Especialista Gestión Contratos</v>
          </cell>
          <cell r="E485" t="str">
            <v>Prof. 4X3 12 hrs</v>
          </cell>
          <cell r="F485" t="str">
            <v>Masculino</v>
          </cell>
          <cell r="G485" t="str">
            <v>CDIAZ096@CODELCO.CL</v>
          </cell>
          <cell r="H485">
            <v>39</v>
          </cell>
          <cell r="I485">
            <v>43647</v>
          </cell>
          <cell r="J485">
            <v>45200</v>
          </cell>
          <cell r="K485" t="str">
            <v>6</v>
          </cell>
          <cell r="L485">
            <v>45200</v>
          </cell>
          <cell r="M485">
            <v>43647</v>
          </cell>
          <cell r="N485">
            <v>43647</v>
          </cell>
          <cell r="O485">
            <v>45200</v>
          </cell>
          <cell r="P485">
            <v>55612</v>
          </cell>
          <cell r="Q485">
            <v>43647</v>
          </cell>
          <cell r="R485">
            <v>7</v>
          </cell>
          <cell r="S485">
            <v>43647</v>
          </cell>
          <cell r="T485" t="str">
            <v>Sin asignar</v>
          </cell>
          <cell r="U485" t="str">
            <v>Sin asignar</v>
          </cell>
          <cell r="V485" t="str">
            <v>Gerencia de Administración</v>
          </cell>
          <cell r="W485" t="str">
            <v>Direccion Gestion y Fiscalizacion EECC</v>
          </cell>
          <cell r="X485" t="str">
            <v>Direccion Gestion y Fiscalizacion EECC</v>
          </cell>
          <cell r="Y485" t="str">
            <v>Profesional</v>
          </cell>
          <cell r="Z485" t="str">
            <v>Indefinido</v>
          </cell>
        </row>
        <row r="486">
          <cell r="A486" t="str">
            <v>77541</v>
          </cell>
          <cell r="B486" t="str">
            <v>154891463</v>
          </cell>
          <cell r="C486" t="str">
            <v>ONETO GONZALEZ CRISTIAN</v>
          </cell>
          <cell r="D486" t="str">
            <v>Jefe Unidad Infraestructura</v>
          </cell>
          <cell r="E486" t="str">
            <v>Prof. 4X3 12 hrs</v>
          </cell>
          <cell r="F486" t="str">
            <v>Masculino</v>
          </cell>
          <cell r="G486" t="str">
            <v>CONETO@CODELCO.CL</v>
          </cell>
          <cell r="H486">
            <v>44</v>
          </cell>
          <cell r="I486">
            <v>44896</v>
          </cell>
          <cell r="J486">
            <v>44896</v>
          </cell>
          <cell r="K486" t="str">
            <v>6</v>
          </cell>
          <cell r="L486">
            <v>45931</v>
          </cell>
          <cell r="M486">
            <v>44896</v>
          </cell>
          <cell r="N486">
            <v>44896</v>
          </cell>
          <cell r="O486">
            <v>45261</v>
          </cell>
          <cell r="P486">
            <v>43773</v>
          </cell>
          <cell r="Q486">
            <v>43773</v>
          </cell>
          <cell r="R486">
            <v>4</v>
          </cell>
          <cell r="S486">
            <v>43773</v>
          </cell>
          <cell r="T486" t="str">
            <v>FUENTEALBA OCAMPOS MAURICIO ALEJANDRO</v>
          </cell>
          <cell r="U486" t="str">
            <v>MFUEN028@CODELCO.CL</v>
          </cell>
          <cell r="V486" t="str">
            <v>Gerencia de Administración</v>
          </cell>
          <cell r="W486" t="str">
            <v>Supte. Proyectos, Infra. y Suministros</v>
          </cell>
          <cell r="X486" t="str">
            <v>Supte. Proyectos, Infra. y Suministros</v>
          </cell>
          <cell r="Y486" t="str">
            <v>Profesional</v>
          </cell>
          <cell r="Z486" t="str">
            <v>Indefinido</v>
          </cell>
        </row>
        <row r="487">
          <cell r="A487" t="str">
            <v>77630</v>
          </cell>
          <cell r="B487" t="str">
            <v>161337447</v>
          </cell>
          <cell r="C487" t="str">
            <v>AGUIRRE MENESES HUGO ANDRES</v>
          </cell>
          <cell r="D487" t="str">
            <v>Gerente de Recursos Mineros y Desarrollo</v>
          </cell>
          <cell r="E487" t="str">
            <v>Prof. 4X3 12 hrs</v>
          </cell>
          <cell r="F487" t="str">
            <v>Masculino</v>
          </cell>
          <cell r="G487" t="str">
            <v>HAGUI024@CODELCO.CL</v>
          </cell>
          <cell r="H487">
            <v>40</v>
          </cell>
          <cell r="I487">
            <v>43808</v>
          </cell>
          <cell r="J487">
            <v>45261</v>
          </cell>
          <cell r="K487" t="str">
            <v>2</v>
          </cell>
          <cell r="L487">
            <v>45261</v>
          </cell>
          <cell r="M487">
            <v>43808</v>
          </cell>
          <cell r="N487">
            <v>45261</v>
          </cell>
          <cell r="O487">
            <v>43808</v>
          </cell>
          <cell r="P487">
            <v>54957</v>
          </cell>
          <cell r="Q487">
            <v>43808</v>
          </cell>
          <cell r="R487">
            <v>7</v>
          </cell>
          <cell r="S487">
            <v>45261</v>
          </cell>
          <cell r="T487" t="str">
            <v>CABRERA CORREA CLAUDIA ALEJANDRA</v>
          </cell>
          <cell r="U487" t="str">
            <v>CLAUDIA.CABRERA@CODE</v>
          </cell>
          <cell r="V487" t="str">
            <v>Gerencia de Recursos Mineros y Desarr</v>
          </cell>
          <cell r="W487" t="str">
            <v>Sin asignar</v>
          </cell>
          <cell r="X487" t="str">
            <v>Gerencia de Recursos Mineros y Desarroll</v>
          </cell>
          <cell r="Y487" t="str">
            <v>Ejecutivo</v>
          </cell>
          <cell r="Z487" t="str">
            <v>Indefinido</v>
          </cell>
        </row>
        <row r="488">
          <cell r="A488" t="str">
            <v>77632</v>
          </cell>
          <cell r="B488" t="str">
            <v>176746335</v>
          </cell>
          <cell r="C488" t="str">
            <v>QUILAMAN RETAMAL JORGE FELIPE MATIAS ALE</v>
          </cell>
          <cell r="D488" t="str">
            <v>Operador Mina</v>
          </cell>
          <cell r="E488" t="str">
            <v>Oper. 7X7 12 Hrs TAB G01</v>
          </cell>
          <cell r="F488" t="str">
            <v>Masculino</v>
          </cell>
          <cell r="G488" t="str">
            <v>JQUIL001@CODELCO.CL</v>
          </cell>
          <cell r="H488">
            <v>35</v>
          </cell>
          <cell r="I488">
            <v>43808</v>
          </cell>
          <cell r="J488">
            <v>43808</v>
          </cell>
          <cell r="K488" t="str">
            <v>10</v>
          </cell>
          <cell r="L488">
            <v>44682</v>
          </cell>
          <cell r="M488">
            <v>43808</v>
          </cell>
          <cell r="N488">
            <v>43808</v>
          </cell>
          <cell r="O488">
            <v>43808</v>
          </cell>
          <cell r="P488">
            <v>57004</v>
          </cell>
          <cell r="Q488">
            <v>43808</v>
          </cell>
          <cell r="R488">
            <v>7</v>
          </cell>
          <cell r="S488">
            <v>43808</v>
          </cell>
          <cell r="T488" t="str">
            <v>ICETA BAEZA ANTONIO</v>
          </cell>
          <cell r="U488" t="str">
            <v>AICETA@CODELCO.CL</v>
          </cell>
          <cell r="V488" t="str">
            <v>Gerencia de Operaciones</v>
          </cell>
          <cell r="W488" t="str">
            <v>Sptcia. Operacion Mina</v>
          </cell>
          <cell r="X488" t="str">
            <v>Sptcia. Operacion Mina</v>
          </cell>
          <cell r="Y488" t="str">
            <v>Operativo</v>
          </cell>
          <cell r="Z488" t="str">
            <v>Indefinido</v>
          </cell>
        </row>
        <row r="489">
          <cell r="A489" t="str">
            <v>77754</v>
          </cell>
          <cell r="B489" t="str">
            <v>168889119</v>
          </cell>
          <cell r="C489" t="str">
            <v>PASTEN CASTRO JOSE MANUEL</v>
          </cell>
          <cell r="D489" t="str">
            <v>Especialista Operativo Suministros</v>
          </cell>
          <cell r="E489" t="str">
            <v>Oper. 7X7 12 Hrs TAB A05</v>
          </cell>
          <cell r="F489" t="str">
            <v>Masculino</v>
          </cell>
          <cell r="G489" t="str">
            <v>JPAST019@CODELCO.CL</v>
          </cell>
          <cell r="H489">
            <v>37</v>
          </cell>
          <cell r="I489">
            <v>43815</v>
          </cell>
          <cell r="J489">
            <v>43815</v>
          </cell>
          <cell r="K489" t="str">
            <v>9</v>
          </cell>
          <cell r="L489">
            <v>44682</v>
          </cell>
          <cell r="M489">
            <v>43815</v>
          </cell>
          <cell r="N489">
            <v>43815</v>
          </cell>
          <cell r="O489">
            <v>43815</v>
          </cell>
          <cell r="P489">
            <v>56289</v>
          </cell>
          <cell r="Q489">
            <v>43815</v>
          </cell>
          <cell r="R489">
            <v>7</v>
          </cell>
          <cell r="S489">
            <v>43815</v>
          </cell>
          <cell r="T489" t="str">
            <v>OSORIO CASIMIS MARKO IGNACIO</v>
          </cell>
          <cell r="U489" t="str">
            <v>MOSOR016@CODELCO.CL</v>
          </cell>
          <cell r="V489" t="str">
            <v>Gerencia de Administración</v>
          </cell>
          <cell r="W489" t="str">
            <v>Supte. Proyectos, Infra. y Suministros</v>
          </cell>
          <cell r="X489" t="str">
            <v>Supte. Proyectos, Infra. y Suministros</v>
          </cell>
          <cell r="Y489" t="str">
            <v>Operativo</v>
          </cell>
          <cell r="Z489" t="str">
            <v>Indefinido</v>
          </cell>
        </row>
        <row r="490">
          <cell r="A490" t="str">
            <v>77846</v>
          </cell>
          <cell r="B490" t="str">
            <v>163573288</v>
          </cell>
          <cell r="C490" t="str">
            <v>VASQUEZ FLECK FRANCISCO JAVIER</v>
          </cell>
          <cell r="D490" t="str">
            <v>Supdte. Ingenieria y Gestion Mina</v>
          </cell>
          <cell r="E490" t="str">
            <v>Prof. 4X3 12 hrs</v>
          </cell>
          <cell r="F490" t="str">
            <v>Masculino</v>
          </cell>
          <cell r="G490" t="str">
            <v>FVASQ009@CODELCO.CL</v>
          </cell>
          <cell r="H490">
            <v>39</v>
          </cell>
          <cell r="I490">
            <v>43836</v>
          </cell>
          <cell r="J490">
            <v>45261</v>
          </cell>
          <cell r="K490" t="str">
            <v>4</v>
          </cell>
          <cell r="L490">
            <v>45261</v>
          </cell>
          <cell r="M490">
            <v>43836</v>
          </cell>
          <cell r="N490">
            <v>43836</v>
          </cell>
          <cell r="O490">
            <v>45261</v>
          </cell>
          <cell r="P490">
            <v>56420</v>
          </cell>
          <cell r="Q490">
            <v>43836</v>
          </cell>
          <cell r="R490">
            <v>6</v>
          </cell>
          <cell r="S490">
            <v>43836</v>
          </cell>
          <cell r="T490" t="str">
            <v>Sin asignar</v>
          </cell>
          <cell r="U490" t="str">
            <v>Sin asignar</v>
          </cell>
          <cell r="V490" t="str">
            <v>Gerencia de Operaciones</v>
          </cell>
          <cell r="W490" t="str">
            <v>Sptcia. Ingenieria y Gestion Mina</v>
          </cell>
          <cell r="X490" t="str">
            <v>Sptcia. Ingenieria y Gestion Mina</v>
          </cell>
          <cell r="Y490" t="str">
            <v>Profesional</v>
          </cell>
          <cell r="Z490" t="str">
            <v>Indefinido</v>
          </cell>
        </row>
        <row r="491">
          <cell r="A491" t="str">
            <v>77853</v>
          </cell>
          <cell r="B491" t="str">
            <v>189390475</v>
          </cell>
          <cell r="C491" t="str">
            <v>HERRERA FUENZALIDA ALEX</v>
          </cell>
          <cell r="D491" t="str">
            <v>Jefe Func. Planif. Mant. Mina</v>
          </cell>
          <cell r="E491" t="str">
            <v>Prof. 4X3 12 hrs</v>
          </cell>
          <cell r="F491" t="str">
            <v>Masculino</v>
          </cell>
          <cell r="G491" t="str">
            <v>AHERR024@CODELCO.CL</v>
          </cell>
          <cell r="H491">
            <v>31</v>
          </cell>
          <cell r="I491">
            <v>44197</v>
          </cell>
          <cell r="J491">
            <v>45689</v>
          </cell>
          <cell r="K491" t="str">
            <v>6</v>
          </cell>
          <cell r="L491">
            <v>45689</v>
          </cell>
          <cell r="M491">
            <v>44197</v>
          </cell>
          <cell r="N491">
            <v>43836</v>
          </cell>
          <cell r="O491">
            <v>45261</v>
          </cell>
          <cell r="P491">
            <v>56420</v>
          </cell>
          <cell r="Q491">
            <v>43836</v>
          </cell>
          <cell r="R491">
            <v>5</v>
          </cell>
          <cell r="S491">
            <v>44197</v>
          </cell>
          <cell r="T491" t="str">
            <v>VERA GAJARDO CARLOS ALEXIS</v>
          </cell>
          <cell r="U491" t="str">
            <v>CVERA009@CODELCO.CL</v>
          </cell>
          <cell r="V491" t="str">
            <v>Gerencia de Mantenimiento</v>
          </cell>
          <cell r="W491" t="str">
            <v>Sptcia. Planificacion Mantenimiento</v>
          </cell>
          <cell r="X491" t="str">
            <v>Sptcia. Planificacion Mantenimiento</v>
          </cell>
          <cell r="Y491" t="str">
            <v>Profesional</v>
          </cell>
          <cell r="Z491" t="str">
            <v>Indefinido</v>
          </cell>
        </row>
        <row r="492">
          <cell r="A492" t="str">
            <v>78128</v>
          </cell>
          <cell r="B492" t="str">
            <v>151061575</v>
          </cell>
          <cell r="C492" t="str">
            <v>ROJAS CHAVEZ ALVARO GUILLERMO</v>
          </cell>
          <cell r="D492" t="str">
            <v>Ingeniero Turno Mtto. Chancado y Apil.</v>
          </cell>
          <cell r="E492" t="str">
            <v>Oper. 7X7 12 Hrs TAB G01</v>
          </cell>
          <cell r="F492" t="str">
            <v>Masculino</v>
          </cell>
          <cell r="G492" t="str">
            <v>AROJA061@CODELCO.CL</v>
          </cell>
          <cell r="H492">
            <v>40</v>
          </cell>
          <cell r="I492">
            <v>43864</v>
          </cell>
          <cell r="J492">
            <v>43864</v>
          </cell>
          <cell r="K492" t="str">
            <v>#</v>
          </cell>
          <cell r="L492">
            <v>43864</v>
          </cell>
          <cell r="M492">
            <v>43864</v>
          </cell>
          <cell r="N492">
            <v>43864</v>
          </cell>
          <cell r="O492">
            <v>43864</v>
          </cell>
          <cell r="P492">
            <v>55366</v>
          </cell>
          <cell r="Q492">
            <v>43864</v>
          </cell>
          <cell r="R492">
            <v>6</v>
          </cell>
          <cell r="S492">
            <v>43864</v>
          </cell>
          <cell r="T492" t="str">
            <v>GUTIÉRREZ VALENCIA JAVIERA PAZ</v>
          </cell>
          <cell r="U492" t="str">
            <v>JGUTI050@CODELCO.CL</v>
          </cell>
          <cell r="V492" t="str">
            <v>Gerencia de Mantenimiento</v>
          </cell>
          <cell r="W492" t="str">
            <v>Sptcia. Mtto. Area Seca</v>
          </cell>
          <cell r="X492" t="str">
            <v>Sptcia. Mtto. Area Seca</v>
          </cell>
          <cell r="Y492" t="str">
            <v>Profesional</v>
          </cell>
          <cell r="Z492" t="str">
            <v>Indefinido</v>
          </cell>
        </row>
        <row r="493">
          <cell r="A493" t="str">
            <v>99003904</v>
          </cell>
          <cell r="B493" t="str">
            <v>021287972K</v>
          </cell>
          <cell r="C493" t="str">
            <v>HIDALGO ARGANDOÑA RAUL IGNACIO</v>
          </cell>
          <cell r="D493" t="str">
            <v>ESTUDIANTES</v>
          </cell>
          <cell r="E493" t="str">
            <v>Prof. 4X3 12 hrs</v>
          </cell>
          <cell r="F493" t="str">
            <v>Masculino</v>
          </cell>
          <cell r="G493" t="str">
            <v>RHIDA028@CODELCO.CL</v>
          </cell>
          <cell r="H493">
            <v>23</v>
          </cell>
          <cell r="I493">
            <v>46027</v>
          </cell>
          <cell r="J493">
            <v>46027</v>
          </cell>
          <cell r="K493" t="str">
            <v>#</v>
          </cell>
          <cell r="L493">
            <v>46027</v>
          </cell>
          <cell r="M493">
            <v>46027</v>
          </cell>
          <cell r="N493">
            <v>46027</v>
          </cell>
          <cell r="O493">
            <v>45845</v>
          </cell>
          <cell r="P493">
            <v>46027</v>
          </cell>
          <cell r="Q493">
            <v>46027</v>
          </cell>
          <cell r="R493">
            <v>0</v>
          </cell>
          <cell r="S493">
            <v>0</v>
          </cell>
          <cell r="T493" t="str">
            <v>Sin asignar</v>
          </cell>
          <cell r="U493" t="str">
            <v>Sin asignar</v>
          </cell>
          <cell r="V493" t="str">
            <v>Gerencia de Operaciones</v>
          </cell>
          <cell r="W493" t="str">
            <v>Sin asignar</v>
          </cell>
          <cell r="X493" t="str">
            <v>Gerencia de Operaciones</v>
          </cell>
          <cell r="Y493" t="str">
            <v>Estudiante en Pract.</v>
          </cell>
          <cell r="Z493" t="str">
            <v>Indefinido</v>
          </cell>
        </row>
        <row r="494">
          <cell r="A494" t="str">
            <v>99003911</v>
          </cell>
          <cell r="B494" t="str">
            <v>211961708</v>
          </cell>
          <cell r="C494" t="str">
            <v>CRUZ GONZALEZ IVAN JOEL</v>
          </cell>
          <cell r="D494" t="str">
            <v>ESTUDIANTES</v>
          </cell>
          <cell r="E494" t="str">
            <v>Prof. 4X3 12 hrs</v>
          </cell>
          <cell r="F494" t="str">
            <v>Masculino</v>
          </cell>
          <cell r="G494" t="str">
            <v>ICRUZ006@CODELCO.CL</v>
          </cell>
          <cell r="H494">
            <v>24</v>
          </cell>
          <cell r="I494">
            <v>46027</v>
          </cell>
          <cell r="J494">
            <v>45597</v>
          </cell>
          <cell r="K494" t="str">
            <v>#</v>
          </cell>
          <cell r="L494">
            <v>46027</v>
          </cell>
          <cell r="M494">
            <v>46027</v>
          </cell>
          <cell r="N494">
            <v>45597</v>
          </cell>
          <cell r="O494">
            <v>45597</v>
          </cell>
          <cell r="P494">
            <v>46027</v>
          </cell>
          <cell r="Q494">
            <v>46027</v>
          </cell>
          <cell r="R494">
            <v>0</v>
          </cell>
          <cell r="S494">
            <v>46027</v>
          </cell>
          <cell r="T494" t="str">
            <v>Sin asignar</v>
          </cell>
          <cell r="U494" t="str">
            <v>Sin asignar</v>
          </cell>
          <cell r="V494" t="str">
            <v>Gerencia de Operaciones</v>
          </cell>
          <cell r="W494" t="str">
            <v>Sin asignar</v>
          </cell>
          <cell r="X494" t="str">
            <v>Gerencia de Operaciones</v>
          </cell>
          <cell r="Y494" t="str">
            <v>Estudiante en Pract.</v>
          </cell>
          <cell r="Z494" t="str">
            <v>Indefinido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8"/>
  <sheetViews>
    <sheetView tabSelected="1" topLeftCell="D1" zoomScale="63" workbookViewId="0">
      <selection activeCell="M12" sqref="M12"/>
    </sheetView>
  </sheetViews>
  <sheetFormatPr baseColWidth="10" defaultColWidth="8.7265625" defaultRowHeight="14.5" x14ac:dyDescent="0.35"/>
  <cols>
    <col min="1" max="1" width="10.26953125" customWidth="1"/>
    <col min="4" max="4" width="24" customWidth="1"/>
    <col min="5" max="5" width="12.453125" customWidth="1"/>
    <col min="6" max="6" width="12.6328125" customWidth="1"/>
    <col min="19" max="19" width="10.26953125" bestFit="1" customWidth="1"/>
    <col min="23" max="23" width="13.26953125" customWidth="1"/>
    <col min="24" max="24" width="14.453125" customWidth="1"/>
    <col min="25" max="25" width="15.1796875" customWidth="1"/>
    <col min="26" max="26" width="14" customWidth="1"/>
    <col min="27" max="27" width="18.26953125" customWidth="1"/>
    <col min="28" max="28" width="26.36328125" customWidth="1"/>
  </cols>
  <sheetData>
    <row r="1" spans="1:31" ht="34.5" customHeight="1" x14ac:dyDescent="0.5">
      <c r="A1" s="11" t="s">
        <v>88</v>
      </c>
      <c r="B1" s="11" t="s">
        <v>225</v>
      </c>
      <c r="C1" s="11" t="s">
        <v>226</v>
      </c>
      <c r="D1" s="11" t="s">
        <v>228</v>
      </c>
      <c r="E1" s="11" t="s">
        <v>229</v>
      </c>
      <c r="F1" s="11" t="s">
        <v>227</v>
      </c>
      <c r="G1" s="21" t="s">
        <v>1</v>
      </c>
      <c r="H1" s="21"/>
      <c r="I1" s="21"/>
      <c r="J1" s="22" t="s">
        <v>2</v>
      </c>
      <c r="K1" s="22"/>
      <c r="L1" s="22"/>
      <c r="M1" s="23" t="s">
        <v>3</v>
      </c>
      <c r="N1" s="23"/>
      <c r="O1" s="23"/>
      <c r="P1" s="24" t="s">
        <v>4</v>
      </c>
      <c r="Q1" s="24"/>
      <c r="R1" s="24"/>
      <c r="S1" s="17" t="s">
        <v>5</v>
      </c>
      <c r="T1" s="18" t="s">
        <v>6</v>
      </c>
      <c r="U1" s="19" t="s">
        <v>7</v>
      </c>
      <c r="V1" s="20" t="s">
        <v>8</v>
      </c>
      <c r="W1" s="25" t="s">
        <v>78</v>
      </c>
      <c r="X1" s="26" t="s">
        <v>0</v>
      </c>
      <c r="Y1" s="16" t="s">
        <v>81</v>
      </c>
      <c r="Z1" s="14" t="s">
        <v>10</v>
      </c>
      <c r="AA1" s="13" t="s">
        <v>9</v>
      </c>
      <c r="AB1" s="15" t="s">
        <v>79</v>
      </c>
      <c r="AC1" s="8"/>
    </row>
    <row r="2" spans="1:31" ht="14.5" customHeight="1" x14ac:dyDescent="0.35">
      <c r="A2" s="11"/>
      <c r="B2" s="11"/>
      <c r="C2" s="11"/>
      <c r="D2" s="11"/>
      <c r="E2" s="11"/>
      <c r="F2" s="11"/>
      <c r="G2" s="3">
        <v>1</v>
      </c>
      <c r="H2" s="3">
        <v>2</v>
      </c>
      <c r="I2" s="3">
        <v>3</v>
      </c>
      <c r="J2" s="4">
        <v>1</v>
      </c>
      <c r="K2" s="4">
        <v>2</v>
      </c>
      <c r="L2" s="4">
        <v>3</v>
      </c>
      <c r="M2" s="5">
        <v>1</v>
      </c>
      <c r="N2" s="5">
        <v>2</v>
      </c>
      <c r="O2" s="5">
        <v>3</v>
      </c>
      <c r="P2" s="6">
        <v>1</v>
      </c>
      <c r="Q2" s="6">
        <v>2</v>
      </c>
      <c r="R2" s="6">
        <v>3</v>
      </c>
      <c r="S2" s="17"/>
      <c r="T2" s="18"/>
      <c r="U2" s="19"/>
      <c r="V2" s="20"/>
      <c r="W2" s="25"/>
      <c r="X2" s="26"/>
      <c r="Y2" s="16"/>
      <c r="Z2" s="14"/>
      <c r="AA2" s="13"/>
      <c r="AB2" s="15"/>
      <c r="AC2" s="8"/>
      <c r="AD2" s="12"/>
      <c r="AE2" s="12"/>
    </row>
    <row r="3" spans="1:31" ht="14.5" customHeight="1" x14ac:dyDescent="0.35">
      <c r="A3" s="1" t="s">
        <v>89</v>
      </c>
      <c r="B3" s="1">
        <v>40</v>
      </c>
      <c r="C3" s="1" t="str">
        <f>VLOOKUP(A3,[1]Export!$1:$1048576,6)</f>
        <v>Masculino</v>
      </c>
      <c r="D3" s="1" t="s">
        <v>243</v>
      </c>
      <c r="E3" s="1" t="s">
        <v>236</v>
      </c>
      <c r="F3" s="1">
        <v>5</v>
      </c>
      <c r="G3" s="1">
        <v>4</v>
      </c>
      <c r="H3" s="1">
        <v>3</v>
      </c>
      <c r="I3" s="1">
        <v>3</v>
      </c>
      <c r="J3" s="1">
        <v>4</v>
      </c>
      <c r="K3" s="1">
        <v>4</v>
      </c>
      <c r="L3" s="1">
        <v>3</v>
      </c>
      <c r="M3" s="1">
        <v>3</v>
      </c>
      <c r="N3" s="1">
        <v>4</v>
      </c>
      <c r="O3" s="1">
        <v>3</v>
      </c>
      <c r="P3" s="1">
        <v>4</v>
      </c>
      <c r="Q3" s="1">
        <v>4</v>
      </c>
      <c r="R3" s="1">
        <v>2</v>
      </c>
      <c r="S3" s="9">
        <f>AVERAGE(G3:I3)</f>
        <v>3.3333333333333335</v>
      </c>
      <c r="T3" s="9">
        <f>AVERAGE(J3:L3)</f>
        <v>3.6666666666666665</v>
      </c>
      <c r="U3" s="9">
        <f>AVERAGE(M3:O3)</f>
        <v>3.3333333333333335</v>
      </c>
      <c r="V3" s="9">
        <f>AVERAGE(P3:R3)</f>
        <v>3.3333333333333335</v>
      </c>
      <c r="W3" s="9">
        <f>SUM(S3:V3)</f>
        <v>13.666666666666668</v>
      </c>
      <c r="X3" s="9">
        <f>W3/4</f>
        <v>3.416666666666667</v>
      </c>
      <c r="Y3" s="1">
        <f>IF(X3&lt;3,1,IF(X3&lt;4,2,3))</f>
        <v>2</v>
      </c>
      <c r="Z3" s="1">
        <v>2</v>
      </c>
      <c r="AA3" s="2" t="s">
        <v>11</v>
      </c>
      <c r="AB3" s="10" t="s">
        <v>84</v>
      </c>
      <c r="AC3" s="7"/>
      <c r="AD3" s="12"/>
      <c r="AE3" s="12"/>
    </row>
    <row r="4" spans="1:31" x14ac:dyDescent="0.35">
      <c r="A4" s="1" t="s">
        <v>90</v>
      </c>
      <c r="B4" s="1">
        <v>36</v>
      </c>
      <c r="C4" s="1" t="str">
        <f>VLOOKUP(A4,[1]Export!$1:$1048576,6)</f>
        <v>Masculino</v>
      </c>
      <c r="D4" s="1" t="s">
        <v>230</v>
      </c>
      <c r="E4" s="1" t="s">
        <v>236</v>
      </c>
      <c r="F4" s="1">
        <v>3</v>
      </c>
      <c r="G4" s="1">
        <v>3</v>
      </c>
      <c r="H4" s="1">
        <v>4</v>
      </c>
      <c r="I4" s="1">
        <v>2</v>
      </c>
      <c r="J4" s="1">
        <v>3</v>
      </c>
      <c r="K4" s="1">
        <v>3</v>
      </c>
      <c r="L4" s="1">
        <v>4</v>
      </c>
      <c r="M4" s="1">
        <v>4</v>
      </c>
      <c r="N4" s="1">
        <v>3</v>
      </c>
      <c r="O4" s="1">
        <v>2</v>
      </c>
      <c r="P4" s="1">
        <v>2</v>
      </c>
      <c r="Q4" s="1">
        <v>3</v>
      </c>
      <c r="R4" s="1">
        <v>4</v>
      </c>
      <c r="S4" s="9">
        <f t="shared" ref="S4:S67" si="0">AVERAGE(G4:I4)</f>
        <v>3</v>
      </c>
      <c r="T4" s="9">
        <f t="shared" ref="T4:T67" si="1">AVERAGE(J4:L4)</f>
        <v>3.3333333333333335</v>
      </c>
      <c r="U4" s="9">
        <f t="shared" ref="U4:U67" si="2">AVERAGE(M4:O4)</f>
        <v>3</v>
      </c>
      <c r="V4" s="9">
        <f t="shared" ref="V4:V67" si="3">AVERAGE(P4:R4)</f>
        <v>3</v>
      </c>
      <c r="W4" s="9">
        <f t="shared" ref="W4:W67" si="4">SUM(S4:V4)</f>
        <v>12.333333333333334</v>
      </c>
      <c r="X4" s="9">
        <f t="shared" ref="X4:X67" si="5">W4/4</f>
        <v>3.0833333333333335</v>
      </c>
      <c r="Y4" s="1">
        <f t="shared" ref="Y4:Y67" si="6">IF(X4&lt;3,1,IF(X4&lt;4,2,3))</f>
        <v>2</v>
      </c>
      <c r="Z4" s="1">
        <v>2</v>
      </c>
      <c r="AA4" s="2" t="s">
        <v>12</v>
      </c>
      <c r="AB4" s="10" t="s">
        <v>84</v>
      </c>
    </row>
    <row r="5" spans="1:31" x14ac:dyDescent="0.35">
      <c r="A5" s="1" t="s">
        <v>91</v>
      </c>
      <c r="B5" s="1">
        <v>52</v>
      </c>
      <c r="C5" s="1" t="str">
        <f>VLOOKUP(A5,[1]Export!$1:$1048576,6)</f>
        <v>Masculino</v>
      </c>
      <c r="D5" s="1" t="s">
        <v>231</v>
      </c>
      <c r="E5" s="1" t="s">
        <v>237</v>
      </c>
      <c r="F5" s="1">
        <v>5</v>
      </c>
      <c r="G5" s="1">
        <v>2</v>
      </c>
      <c r="H5" s="1">
        <v>1</v>
      </c>
      <c r="I5" s="1">
        <v>2</v>
      </c>
      <c r="J5" s="1">
        <v>2</v>
      </c>
      <c r="K5" s="1">
        <v>1</v>
      </c>
      <c r="L5" s="1">
        <v>2</v>
      </c>
      <c r="M5" s="1">
        <v>2</v>
      </c>
      <c r="N5" s="1">
        <v>1</v>
      </c>
      <c r="O5" s="1">
        <v>2</v>
      </c>
      <c r="P5" s="1">
        <v>2</v>
      </c>
      <c r="Q5" s="1">
        <v>1</v>
      </c>
      <c r="R5" s="1">
        <v>2</v>
      </c>
      <c r="S5" s="9">
        <f t="shared" si="0"/>
        <v>1.6666666666666667</v>
      </c>
      <c r="T5" s="9">
        <f t="shared" si="1"/>
        <v>1.6666666666666667</v>
      </c>
      <c r="U5" s="9">
        <f t="shared" si="2"/>
        <v>1.6666666666666667</v>
      </c>
      <c r="V5" s="9">
        <f t="shared" si="3"/>
        <v>1.6666666666666667</v>
      </c>
      <c r="W5" s="9">
        <f t="shared" si="4"/>
        <v>6.666666666666667</v>
      </c>
      <c r="X5" s="9">
        <f t="shared" si="5"/>
        <v>1.6666666666666667</v>
      </c>
      <c r="Y5" s="1">
        <f t="shared" si="6"/>
        <v>1</v>
      </c>
      <c r="Z5" s="1">
        <v>2</v>
      </c>
      <c r="AA5" s="2" t="s">
        <v>13</v>
      </c>
      <c r="AB5" s="1" t="s">
        <v>83</v>
      </c>
    </row>
    <row r="6" spans="1:31" x14ac:dyDescent="0.35">
      <c r="A6" s="1" t="s">
        <v>92</v>
      </c>
      <c r="B6" s="1">
        <v>32</v>
      </c>
      <c r="C6" s="1" t="str">
        <f>VLOOKUP(A6,[1]Export!$1:$1048576,6)</f>
        <v>Masculino</v>
      </c>
      <c r="D6" s="1" t="s">
        <v>231</v>
      </c>
      <c r="E6" s="1" t="s">
        <v>236</v>
      </c>
      <c r="F6" s="1">
        <v>5</v>
      </c>
      <c r="G6" s="1">
        <v>2</v>
      </c>
      <c r="H6" s="1">
        <v>2</v>
      </c>
      <c r="I6" s="1">
        <v>1</v>
      </c>
      <c r="J6" s="1">
        <v>1</v>
      </c>
      <c r="K6" s="1">
        <v>2</v>
      </c>
      <c r="L6" s="1">
        <v>2</v>
      </c>
      <c r="M6" s="1">
        <v>2</v>
      </c>
      <c r="N6" s="1">
        <v>1</v>
      </c>
      <c r="O6" s="1">
        <v>1</v>
      </c>
      <c r="P6" s="1">
        <v>2</v>
      </c>
      <c r="Q6" s="1">
        <v>1</v>
      </c>
      <c r="R6" s="1">
        <v>2</v>
      </c>
      <c r="S6" s="9">
        <f t="shared" si="0"/>
        <v>1.6666666666666667</v>
      </c>
      <c r="T6" s="9">
        <f t="shared" si="1"/>
        <v>1.6666666666666667</v>
      </c>
      <c r="U6" s="9">
        <f t="shared" si="2"/>
        <v>1.3333333333333333</v>
      </c>
      <c r="V6" s="9">
        <f t="shared" si="3"/>
        <v>1.6666666666666667</v>
      </c>
      <c r="W6" s="9">
        <f t="shared" si="4"/>
        <v>6.3333333333333339</v>
      </c>
      <c r="X6" s="9">
        <f t="shared" si="5"/>
        <v>1.5833333333333335</v>
      </c>
      <c r="Y6" s="1">
        <f t="shared" si="6"/>
        <v>1</v>
      </c>
      <c r="Z6" s="1">
        <v>2</v>
      </c>
      <c r="AA6" s="2" t="s">
        <v>14</v>
      </c>
      <c r="AB6" s="1" t="s">
        <v>83</v>
      </c>
    </row>
    <row r="7" spans="1:31" x14ac:dyDescent="0.35">
      <c r="A7" s="1" t="s">
        <v>93</v>
      </c>
      <c r="B7" s="1">
        <v>44</v>
      </c>
      <c r="C7" s="1" t="str">
        <f>VLOOKUP(A7,[1]Export!$1:$1048576,6)</f>
        <v>Masculino</v>
      </c>
      <c r="D7" s="1" t="s">
        <v>232</v>
      </c>
      <c r="E7" s="1" t="s">
        <v>238</v>
      </c>
      <c r="F7" s="1">
        <v>5</v>
      </c>
      <c r="G7" s="1">
        <v>2</v>
      </c>
      <c r="H7" s="1">
        <v>3</v>
      </c>
      <c r="I7" s="1">
        <v>2</v>
      </c>
      <c r="J7" s="1">
        <v>2</v>
      </c>
      <c r="K7" s="1">
        <v>4</v>
      </c>
      <c r="L7" s="1">
        <v>4</v>
      </c>
      <c r="M7" s="1">
        <v>4</v>
      </c>
      <c r="N7" s="1">
        <v>4</v>
      </c>
      <c r="O7" s="1">
        <v>2</v>
      </c>
      <c r="P7" s="1">
        <v>3</v>
      </c>
      <c r="Q7" s="1">
        <v>2</v>
      </c>
      <c r="R7" s="1">
        <v>3</v>
      </c>
      <c r="S7" s="9">
        <f t="shared" si="0"/>
        <v>2.3333333333333335</v>
      </c>
      <c r="T7" s="9">
        <f t="shared" si="1"/>
        <v>3.3333333333333335</v>
      </c>
      <c r="U7" s="9">
        <f t="shared" si="2"/>
        <v>3.3333333333333335</v>
      </c>
      <c r="V7" s="9">
        <f t="shared" si="3"/>
        <v>2.6666666666666665</v>
      </c>
      <c r="W7" s="9">
        <f t="shared" si="4"/>
        <v>11.666666666666666</v>
      </c>
      <c r="X7" s="9">
        <f t="shared" si="5"/>
        <v>2.9166666666666665</v>
      </c>
      <c r="Y7" s="1">
        <f t="shared" si="6"/>
        <v>1</v>
      </c>
      <c r="Z7" s="1">
        <v>2</v>
      </c>
      <c r="AA7" s="2" t="s">
        <v>15</v>
      </c>
      <c r="AB7" s="1" t="s">
        <v>83</v>
      </c>
    </row>
    <row r="8" spans="1:31" x14ac:dyDescent="0.35">
      <c r="A8" s="1" t="s">
        <v>94</v>
      </c>
      <c r="B8" s="1">
        <v>41</v>
      </c>
      <c r="C8" s="1" t="str">
        <f>VLOOKUP(A8,[1]Export!$1:$1048576,6)</f>
        <v>Masculino</v>
      </c>
      <c r="D8" s="1" t="s">
        <v>243</v>
      </c>
      <c r="E8" s="1" t="s">
        <v>236</v>
      </c>
      <c r="F8" s="1">
        <v>4</v>
      </c>
      <c r="G8" s="1">
        <v>4</v>
      </c>
      <c r="H8" s="1">
        <v>5</v>
      </c>
      <c r="I8" s="1">
        <v>4</v>
      </c>
      <c r="J8" s="1">
        <v>5</v>
      </c>
      <c r="K8" s="1">
        <v>4</v>
      </c>
      <c r="L8" s="1">
        <v>5</v>
      </c>
      <c r="M8" s="1">
        <v>4</v>
      </c>
      <c r="N8" s="1">
        <v>5</v>
      </c>
      <c r="O8" s="1">
        <v>4</v>
      </c>
      <c r="P8" s="1">
        <v>5</v>
      </c>
      <c r="Q8" s="1">
        <v>4</v>
      </c>
      <c r="R8" s="1">
        <v>4</v>
      </c>
      <c r="S8" s="9">
        <f t="shared" si="0"/>
        <v>4.333333333333333</v>
      </c>
      <c r="T8" s="9">
        <f t="shared" si="1"/>
        <v>4.666666666666667</v>
      </c>
      <c r="U8" s="9">
        <f t="shared" si="2"/>
        <v>4.333333333333333</v>
      </c>
      <c r="V8" s="9">
        <f t="shared" si="3"/>
        <v>4.333333333333333</v>
      </c>
      <c r="W8" s="9">
        <f t="shared" si="4"/>
        <v>17.666666666666664</v>
      </c>
      <c r="X8" s="9">
        <f t="shared" si="5"/>
        <v>4.4166666666666661</v>
      </c>
      <c r="Y8" s="1">
        <f t="shared" si="6"/>
        <v>3</v>
      </c>
      <c r="Z8" s="1">
        <v>3</v>
      </c>
      <c r="AA8" s="2" t="s">
        <v>16</v>
      </c>
      <c r="AB8" s="1" t="s">
        <v>80</v>
      </c>
    </row>
    <row r="9" spans="1:31" x14ac:dyDescent="0.35">
      <c r="A9" s="1" t="s">
        <v>95</v>
      </c>
      <c r="B9" s="1">
        <v>39</v>
      </c>
      <c r="C9" s="1" t="str">
        <f>VLOOKUP(A9,[1]Export!$1:$1048576,6)</f>
        <v>Femenino</v>
      </c>
      <c r="D9" s="1" t="s">
        <v>232</v>
      </c>
      <c r="E9" s="1" t="s">
        <v>236</v>
      </c>
      <c r="F9" s="1">
        <v>4</v>
      </c>
      <c r="G9" s="1">
        <v>2</v>
      </c>
      <c r="H9" s="1">
        <v>2</v>
      </c>
      <c r="I9" s="1">
        <v>1</v>
      </c>
      <c r="J9" s="1">
        <v>1</v>
      </c>
      <c r="K9" s="1">
        <v>2</v>
      </c>
      <c r="L9" s="1">
        <v>1</v>
      </c>
      <c r="M9" s="1">
        <v>2</v>
      </c>
      <c r="N9" s="1">
        <v>2</v>
      </c>
      <c r="O9" s="1">
        <v>2</v>
      </c>
      <c r="P9" s="1">
        <v>2</v>
      </c>
      <c r="Q9" s="1">
        <v>2</v>
      </c>
      <c r="R9" s="1">
        <v>2</v>
      </c>
      <c r="S9" s="9">
        <f t="shared" si="0"/>
        <v>1.6666666666666667</v>
      </c>
      <c r="T9" s="9">
        <f t="shared" si="1"/>
        <v>1.3333333333333333</v>
      </c>
      <c r="U9" s="9">
        <f t="shared" si="2"/>
        <v>2</v>
      </c>
      <c r="V9" s="9">
        <f t="shared" si="3"/>
        <v>2</v>
      </c>
      <c r="W9" s="9">
        <f t="shared" si="4"/>
        <v>7</v>
      </c>
      <c r="X9" s="9">
        <f t="shared" si="5"/>
        <v>1.75</v>
      </c>
      <c r="Y9" s="1">
        <f t="shared" si="6"/>
        <v>1</v>
      </c>
      <c r="Z9" s="1">
        <v>2</v>
      </c>
      <c r="AA9" s="2" t="s">
        <v>17</v>
      </c>
      <c r="AB9" s="1" t="s">
        <v>83</v>
      </c>
    </row>
    <row r="10" spans="1:31" x14ac:dyDescent="0.35">
      <c r="A10" s="1" t="s">
        <v>96</v>
      </c>
      <c r="B10" s="1">
        <v>32</v>
      </c>
      <c r="C10" s="1" t="str">
        <f>VLOOKUP(A10,[1]Export!$1:$1048576,6)</f>
        <v>Femenino</v>
      </c>
      <c r="D10" s="1" t="s">
        <v>231</v>
      </c>
      <c r="E10" s="1" t="s">
        <v>236</v>
      </c>
      <c r="F10" s="1">
        <v>3</v>
      </c>
      <c r="G10" s="1">
        <v>4</v>
      </c>
      <c r="H10" s="1">
        <v>4</v>
      </c>
      <c r="I10" s="1">
        <v>4</v>
      </c>
      <c r="J10" s="1">
        <v>5</v>
      </c>
      <c r="K10" s="1">
        <v>4</v>
      </c>
      <c r="L10" s="1">
        <v>4</v>
      </c>
      <c r="M10" s="1">
        <v>5</v>
      </c>
      <c r="N10" s="1">
        <v>5</v>
      </c>
      <c r="O10" s="1">
        <v>5</v>
      </c>
      <c r="P10" s="1">
        <v>4</v>
      </c>
      <c r="Q10" s="1">
        <v>5</v>
      </c>
      <c r="R10" s="1">
        <v>5</v>
      </c>
      <c r="S10" s="9">
        <f t="shared" si="0"/>
        <v>4</v>
      </c>
      <c r="T10" s="9">
        <f t="shared" si="1"/>
        <v>4.333333333333333</v>
      </c>
      <c r="U10" s="9">
        <f t="shared" si="2"/>
        <v>5</v>
      </c>
      <c r="V10" s="9">
        <f t="shared" si="3"/>
        <v>4.666666666666667</v>
      </c>
      <c r="W10" s="9">
        <f t="shared" si="4"/>
        <v>18</v>
      </c>
      <c r="X10" s="9">
        <f t="shared" si="5"/>
        <v>4.5</v>
      </c>
      <c r="Y10" s="1">
        <f t="shared" si="6"/>
        <v>3</v>
      </c>
      <c r="Z10" s="1">
        <v>2</v>
      </c>
      <c r="AA10" s="2" t="s">
        <v>18</v>
      </c>
      <c r="AB10" s="1" t="s">
        <v>86</v>
      </c>
    </row>
    <row r="11" spans="1:31" x14ac:dyDescent="0.35">
      <c r="A11" s="1" t="s">
        <v>97</v>
      </c>
      <c r="B11" s="1">
        <v>32</v>
      </c>
      <c r="C11" s="1" t="str">
        <f>VLOOKUP(A11,[1]Export!$1:$1048576,6)</f>
        <v>Femenino</v>
      </c>
      <c r="D11" s="1" t="s">
        <v>232</v>
      </c>
      <c r="E11" s="1" t="s">
        <v>238</v>
      </c>
      <c r="F11" s="1">
        <v>3</v>
      </c>
      <c r="G11" s="1">
        <v>4</v>
      </c>
      <c r="H11" s="1">
        <v>2</v>
      </c>
      <c r="I11" s="1">
        <v>3</v>
      </c>
      <c r="J11" s="1">
        <v>2</v>
      </c>
      <c r="K11" s="1">
        <v>3</v>
      </c>
      <c r="L11" s="1">
        <v>3</v>
      </c>
      <c r="M11" s="1">
        <v>3</v>
      </c>
      <c r="N11" s="1">
        <v>3</v>
      </c>
      <c r="O11" s="1">
        <v>2</v>
      </c>
      <c r="P11" s="1">
        <v>4</v>
      </c>
      <c r="Q11" s="1">
        <v>2</v>
      </c>
      <c r="R11" s="1">
        <v>2</v>
      </c>
      <c r="S11" s="9">
        <f t="shared" si="0"/>
        <v>3</v>
      </c>
      <c r="T11" s="9">
        <f t="shared" si="1"/>
        <v>2.6666666666666665</v>
      </c>
      <c r="U11" s="9">
        <f t="shared" si="2"/>
        <v>2.6666666666666665</v>
      </c>
      <c r="V11" s="9">
        <f t="shared" si="3"/>
        <v>2.6666666666666665</v>
      </c>
      <c r="W11" s="9">
        <f t="shared" si="4"/>
        <v>10.999999999999998</v>
      </c>
      <c r="X11" s="9">
        <f t="shared" si="5"/>
        <v>2.7499999999999996</v>
      </c>
      <c r="Y11" s="1">
        <f t="shared" si="6"/>
        <v>1</v>
      </c>
      <c r="Z11" s="1">
        <v>2</v>
      </c>
      <c r="AA11" s="2" t="s">
        <v>14</v>
      </c>
      <c r="AB11" s="1" t="s">
        <v>83</v>
      </c>
    </row>
    <row r="12" spans="1:31" x14ac:dyDescent="0.35">
      <c r="A12" s="1" t="s">
        <v>98</v>
      </c>
      <c r="B12" s="1">
        <v>32</v>
      </c>
      <c r="C12" s="1" t="str">
        <f>VLOOKUP(A12,[1]Export!$1:$1048576,6)</f>
        <v>Masculino</v>
      </c>
      <c r="D12" s="1" t="s">
        <v>232</v>
      </c>
      <c r="E12" s="1" t="s">
        <v>236</v>
      </c>
      <c r="F12" s="1">
        <v>3</v>
      </c>
      <c r="G12" s="1">
        <v>3</v>
      </c>
      <c r="H12" s="1">
        <v>4</v>
      </c>
      <c r="I12" s="1">
        <v>2</v>
      </c>
      <c r="J12" s="1">
        <v>4</v>
      </c>
      <c r="K12" s="1">
        <v>4</v>
      </c>
      <c r="L12" s="1">
        <v>4</v>
      </c>
      <c r="M12" s="1">
        <v>3</v>
      </c>
      <c r="N12" s="1">
        <v>2</v>
      </c>
      <c r="O12" s="1">
        <v>4</v>
      </c>
      <c r="P12" s="1">
        <v>4</v>
      </c>
      <c r="Q12" s="1">
        <v>4</v>
      </c>
      <c r="R12" s="1">
        <v>2</v>
      </c>
      <c r="S12" s="9">
        <f t="shared" si="0"/>
        <v>3</v>
      </c>
      <c r="T12" s="9">
        <f t="shared" si="1"/>
        <v>4</v>
      </c>
      <c r="U12" s="9">
        <f t="shared" si="2"/>
        <v>3</v>
      </c>
      <c r="V12" s="9">
        <f t="shared" si="3"/>
        <v>3.3333333333333335</v>
      </c>
      <c r="W12" s="9">
        <f t="shared" si="4"/>
        <v>13.333333333333334</v>
      </c>
      <c r="X12" s="9">
        <f t="shared" si="5"/>
        <v>3.3333333333333335</v>
      </c>
      <c r="Y12" s="1">
        <f t="shared" si="6"/>
        <v>2</v>
      </c>
      <c r="Z12" s="1">
        <v>2</v>
      </c>
      <c r="AA12" s="2" t="s">
        <v>19</v>
      </c>
      <c r="AB12" s="10" t="s">
        <v>84</v>
      </c>
    </row>
    <row r="13" spans="1:31" x14ac:dyDescent="0.35">
      <c r="A13" s="1" t="s">
        <v>99</v>
      </c>
      <c r="B13" s="1">
        <v>30</v>
      </c>
      <c r="C13" s="1" t="str">
        <f>VLOOKUP(A13,[1]Export!$1:$1048576,6)</f>
        <v>Femenino</v>
      </c>
      <c r="D13" s="1" t="s">
        <v>233</v>
      </c>
      <c r="E13" s="1" t="s">
        <v>236</v>
      </c>
      <c r="F13" s="1">
        <v>3</v>
      </c>
      <c r="G13" s="1">
        <v>4</v>
      </c>
      <c r="H13" s="1">
        <v>2</v>
      </c>
      <c r="I13" s="1">
        <v>3</v>
      </c>
      <c r="J13" s="1">
        <v>3</v>
      </c>
      <c r="K13" s="1">
        <v>2</v>
      </c>
      <c r="L13" s="1">
        <v>4</v>
      </c>
      <c r="M13" s="1">
        <v>3</v>
      </c>
      <c r="N13" s="1">
        <v>3</v>
      </c>
      <c r="O13" s="1">
        <v>4</v>
      </c>
      <c r="P13" s="1">
        <v>2</v>
      </c>
      <c r="Q13" s="1">
        <v>2</v>
      </c>
      <c r="R13" s="1">
        <v>3</v>
      </c>
      <c r="S13" s="9">
        <f t="shared" si="0"/>
        <v>3</v>
      </c>
      <c r="T13" s="9">
        <f t="shared" si="1"/>
        <v>3</v>
      </c>
      <c r="U13" s="9">
        <f t="shared" si="2"/>
        <v>3.3333333333333335</v>
      </c>
      <c r="V13" s="9">
        <f t="shared" si="3"/>
        <v>2.3333333333333335</v>
      </c>
      <c r="W13" s="9">
        <f t="shared" si="4"/>
        <v>11.666666666666668</v>
      </c>
      <c r="X13" s="9">
        <f t="shared" si="5"/>
        <v>2.916666666666667</v>
      </c>
      <c r="Y13" s="1">
        <f t="shared" si="6"/>
        <v>1</v>
      </c>
      <c r="Z13" s="1">
        <v>2</v>
      </c>
      <c r="AA13" s="2" t="s">
        <v>20</v>
      </c>
      <c r="AB13" s="1" t="s">
        <v>83</v>
      </c>
    </row>
    <row r="14" spans="1:31" x14ac:dyDescent="0.35">
      <c r="A14" s="1" t="s">
        <v>100</v>
      </c>
      <c r="B14" s="1">
        <v>39</v>
      </c>
      <c r="C14" s="1" t="str">
        <f>VLOOKUP(A14,[1]Export!$1:$1048576,6)</f>
        <v>Masculino</v>
      </c>
      <c r="D14" s="1" t="s">
        <v>231</v>
      </c>
      <c r="E14" s="1" t="s">
        <v>236</v>
      </c>
      <c r="F14" s="1">
        <v>4</v>
      </c>
      <c r="G14" s="1">
        <v>2</v>
      </c>
      <c r="H14" s="1">
        <v>2</v>
      </c>
      <c r="I14" s="1">
        <v>3</v>
      </c>
      <c r="J14" s="1">
        <v>3</v>
      </c>
      <c r="K14" s="1">
        <v>3</v>
      </c>
      <c r="L14" s="1">
        <v>3</v>
      </c>
      <c r="M14" s="1">
        <v>3</v>
      </c>
      <c r="N14" s="1">
        <v>4</v>
      </c>
      <c r="O14" s="1">
        <v>4</v>
      </c>
      <c r="P14" s="1">
        <v>3</v>
      </c>
      <c r="Q14" s="1">
        <v>2</v>
      </c>
      <c r="R14" s="1">
        <v>4</v>
      </c>
      <c r="S14" s="9">
        <f t="shared" si="0"/>
        <v>2.3333333333333335</v>
      </c>
      <c r="T14" s="9">
        <f t="shared" si="1"/>
        <v>3</v>
      </c>
      <c r="U14" s="9">
        <f t="shared" si="2"/>
        <v>3.6666666666666665</v>
      </c>
      <c r="V14" s="9">
        <f t="shared" si="3"/>
        <v>3</v>
      </c>
      <c r="W14" s="9">
        <f t="shared" si="4"/>
        <v>12</v>
      </c>
      <c r="X14" s="9">
        <f t="shared" si="5"/>
        <v>3</v>
      </c>
      <c r="Y14" s="1">
        <f t="shared" si="6"/>
        <v>2</v>
      </c>
      <c r="Z14" s="1">
        <v>2</v>
      </c>
      <c r="AA14" s="2" t="s">
        <v>21</v>
      </c>
      <c r="AB14" s="10" t="s">
        <v>84</v>
      </c>
    </row>
    <row r="15" spans="1:31" x14ac:dyDescent="0.35">
      <c r="A15" s="1" t="s">
        <v>101</v>
      </c>
      <c r="B15" s="1">
        <v>44</v>
      </c>
      <c r="C15" s="1" t="str">
        <f>VLOOKUP(A15,[1]Export!$1:$1048576,6)</f>
        <v>Masculino</v>
      </c>
      <c r="D15" s="1" t="s">
        <v>231</v>
      </c>
      <c r="E15" s="1" t="s">
        <v>239</v>
      </c>
      <c r="F15" s="1">
        <v>4</v>
      </c>
      <c r="G15" s="1">
        <v>5</v>
      </c>
      <c r="H15" s="1">
        <v>5</v>
      </c>
      <c r="I15" s="1">
        <v>5</v>
      </c>
      <c r="J15" s="1">
        <v>4</v>
      </c>
      <c r="K15" s="1">
        <v>4</v>
      </c>
      <c r="L15" s="1">
        <v>4</v>
      </c>
      <c r="M15" s="1">
        <v>4</v>
      </c>
      <c r="N15" s="1">
        <v>4</v>
      </c>
      <c r="O15" s="1">
        <v>5</v>
      </c>
      <c r="P15" s="1">
        <v>4</v>
      </c>
      <c r="Q15" s="1">
        <v>5</v>
      </c>
      <c r="R15" s="1">
        <v>4</v>
      </c>
      <c r="S15" s="9">
        <f t="shared" si="0"/>
        <v>5</v>
      </c>
      <c r="T15" s="9">
        <f t="shared" si="1"/>
        <v>4</v>
      </c>
      <c r="U15" s="9">
        <f t="shared" si="2"/>
        <v>4.333333333333333</v>
      </c>
      <c r="V15" s="9">
        <f t="shared" si="3"/>
        <v>4.333333333333333</v>
      </c>
      <c r="W15" s="9">
        <f t="shared" si="4"/>
        <v>17.666666666666664</v>
      </c>
      <c r="X15" s="9">
        <f t="shared" si="5"/>
        <v>4.4166666666666661</v>
      </c>
      <c r="Y15" s="1">
        <f t="shared" si="6"/>
        <v>3</v>
      </c>
      <c r="Z15" s="1">
        <v>2</v>
      </c>
      <c r="AA15" s="2" t="s">
        <v>22</v>
      </c>
      <c r="AB15" s="1" t="s">
        <v>86</v>
      </c>
    </row>
    <row r="16" spans="1:31" x14ac:dyDescent="0.35">
      <c r="A16" s="1" t="s">
        <v>102</v>
      </c>
      <c r="B16" s="1">
        <v>44</v>
      </c>
      <c r="C16" s="1" t="str">
        <f>VLOOKUP(A16,[1]Export!$1:$1048576,6)</f>
        <v>Femenino</v>
      </c>
      <c r="D16" s="1" t="s">
        <v>230</v>
      </c>
      <c r="E16" s="1" t="s">
        <v>236</v>
      </c>
      <c r="F16" s="1">
        <v>4</v>
      </c>
      <c r="G16" s="1">
        <v>2</v>
      </c>
      <c r="H16" s="1">
        <v>3</v>
      </c>
      <c r="I16" s="1">
        <v>2</v>
      </c>
      <c r="J16" s="1">
        <v>4</v>
      </c>
      <c r="K16" s="1">
        <v>3</v>
      </c>
      <c r="L16" s="1">
        <v>2</v>
      </c>
      <c r="M16" s="1">
        <v>4</v>
      </c>
      <c r="N16" s="1">
        <v>2</v>
      </c>
      <c r="O16" s="1">
        <v>3</v>
      </c>
      <c r="P16" s="1">
        <v>3</v>
      </c>
      <c r="Q16" s="1">
        <v>4</v>
      </c>
      <c r="R16" s="1">
        <v>4</v>
      </c>
      <c r="S16" s="9">
        <f t="shared" si="0"/>
        <v>2.3333333333333335</v>
      </c>
      <c r="T16" s="9">
        <f t="shared" si="1"/>
        <v>3</v>
      </c>
      <c r="U16" s="9">
        <f t="shared" si="2"/>
        <v>3</v>
      </c>
      <c r="V16" s="9">
        <f t="shared" si="3"/>
        <v>3.6666666666666665</v>
      </c>
      <c r="W16" s="9">
        <f t="shared" si="4"/>
        <v>12</v>
      </c>
      <c r="X16" s="9">
        <f t="shared" si="5"/>
        <v>3</v>
      </c>
      <c r="Y16" s="1">
        <f t="shared" si="6"/>
        <v>2</v>
      </c>
      <c r="Z16" s="1">
        <v>2</v>
      </c>
      <c r="AA16" s="2" t="s">
        <v>14</v>
      </c>
      <c r="AB16" s="10" t="s">
        <v>84</v>
      </c>
    </row>
    <row r="17" spans="1:28" x14ac:dyDescent="0.35">
      <c r="A17" s="1" t="s">
        <v>103</v>
      </c>
      <c r="B17" s="1">
        <v>45</v>
      </c>
      <c r="C17" s="1" t="str">
        <f>VLOOKUP(A17,[1]Export!$1:$1048576,6)</f>
        <v>Femenino</v>
      </c>
      <c r="D17" s="1" t="s">
        <v>234</v>
      </c>
      <c r="E17" s="1" t="s">
        <v>240</v>
      </c>
      <c r="F17" s="1">
        <v>4</v>
      </c>
      <c r="G17" s="1">
        <v>4</v>
      </c>
      <c r="H17" s="1">
        <v>4</v>
      </c>
      <c r="I17" s="1">
        <v>2</v>
      </c>
      <c r="J17" s="1">
        <v>3</v>
      </c>
      <c r="K17" s="1">
        <v>4</v>
      </c>
      <c r="L17" s="1">
        <v>2</v>
      </c>
      <c r="M17" s="1">
        <v>3</v>
      </c>
      <c r="N17" s="1">
        <v>2</v>
      </c>
      <c r="O17" s="1">
        <v>2</v>
      </c>
      <c r="P17" s="1">
        <v>4</v>
      </c>
      <c r="Q17" s="1">
        <v>3</v>
      </c>
      <c r="R17" s="1">
        <v>4</v>
      </c>
      <c r="S17" s="9">
        <f t="shared" si="0"/>
        <v>3.3333333333333335</v>
      </c>
      <c r="T17" s="9">
        <f t="shared" si="1"/>
        <v>3</v>
      </c>
      <c r="U17" s="9">
        <f t="shared" si="2"/>
        <v>2.3333333333333335</v>
      </c>
      <c r="V17" s="9">
        <f t="shared" si="3"/>
        <v>3.6666666666666665</v>
      </c>
      <c r="W17" s="9">
        <f t="shared" si="4"/>
        <v>12.333333333333334</v>
      </c>
      <c r="X17" s="9">
        <f t="shared" si="5"/>
        <v>3.0833333333333335</v>
      </c>
      <c r="Y17" s="1">
        <f t="shared" si="6"/>
        <v>2</v>
      </c>
      <c r="Z17" s="1">
        <v>2</v>
      </c>
      <c r="AA17" s="2" t="s">
        <v>23</v>
      </c>
      <c r="AB17" s="10" t="s">
        <v>84</v>
      </c>
    </row>
    <row r="18" spans="1:28" x14ac:dyDescent="0.35">
      <c r="A18" s="1" t="s">
        <v>104</v>
      </c>
      <c r="B18" s="1">
        <v>50</v>
      </c>
      <c r="C18" s="1" t="str">
        <f>VLOOKUP(A18,[1]Export!$1:$1048576,6)</f>
        <v>Femenino</v>
      </c>
      <c r="D18" s="1" t="s">
        <v>230</v>
      </c>
      <c r="E18" s="1" t="s">
        <v>236</v>
      </c>
      <c r="F18" s="1">
        <v>2</v>
      </c>
      <c r="G18" s="1">
        <v>1</v>
      </c>
      <c r="H18" s="1">
        <v>2</v>
      </c>
      <c r="I18" s="1">
        <v>2</v>
      </c>
      <c r="J18" s="1">
        <v>1</v>
      </c>
      <c r="K18" s="1">
        <v>2</v>
      </c>
      <c r="L18" s="1">
        <v>2</v>
      </c>
      <c r="M18" s="1">
        <v>2</v>
      </c>
      <c r="N18" s="1">
        <v>1</v>
      </c>
      <c r="O18" s="1">
        <v>1</v>
      </c>
      <c r="P18" s="1">
        <v>1</v>
      </c>
      <c r="Q18" s="1">
        <v>1</v>
      </c>
      <c r="R18" s="1">
        <v>2</v>
      </c>
      <c r="S18" s="9">
        <f t="shared" si="0"/>
        <v>1.6666666666666667</v>
      </c>
      <c r="T18" s="9">
        <f t="shared" si="1"/>
        <v>1.6666666666666667</v>
      </c>
      <c r="U18" s="9">
        <f t="shared" si="2"/>
        <v>1.3333333333333333</v>
      </c>
      <c r="V18" s="9">
        <f t="shared" si="3"/>
        <v>1.3333333333333333</v>
      </c>
      <c r="W18" s="9">
        <f t="shared" si="4"/>
        <v>6</v>
      </c>
      <c r="X18" s="9">
        <f t="shared" si="5"/>
        <v>1.5</v>
      </c>
      <c r="Y18" s="1">
        <f t="shared" si="6"/>
        <v>1</v>
      </c>
      <c r="Z18" s="1">
        <v>1</v>
      </c>
      <c r="AA18" s="2" t="s">
        <v>24</v>
      </c>
      <c r="AB18" s="1" t="s">
        <v>82</v>
      </c>
    </row>
    <row r="19" spans="1:28" x14ac:dyDescent="0.35">
      <c r="A19" s="1" t="s">
        <v>105</v>
      </c>
      <c r="B19" s="1">
        <v>31</v>
      </c>
      <c r="C19" s="1" t="str">
        <f>VLOOKUP(A19,[1]Export!$1:$1048576,6)</f>
        <v>Masculino</v>
      </c>
      <c r="D19" s="1" t="s">
        <v>231</v>
      </c>
      <c r="E19" s="1" t="s">
        <v>236</v>
      </c>
      <c r="F19" s="1">
        <v>4</v>
      </c>
      <c r="G19" s="1">
        <v>4</v>
      </c>
      <c r="H19" s="1">
        <v>3</v>
      </c>
      <c r="I19" s="1">
        <v>3</v>
      </c>
      <c r="J19" s="1">
        <v>4</v>
      </c>
      <c r="K19" s="1">
        <v>3</v>
      </c>
      <c r="L19" s="1">
        <v>2</v>
      </c>
      <c r="M19" s="1">
        <v>4</v>
      </c>
      <c r="N19" s="1">
        <v>3</v>
      </c>
      <c r="O19" s="1">
        <v>4</v>
      </c>
      <c r="P19" s="1">
        <v>4</v>
      </c>
      <c r="Q19" s="1">
        <v>3</v>
      </c>
      <c r="R19" s="1">
        <v>2</v>
      </c>
      <c r="S19" s="9">
        <f t="shared" si="0"/>
        <v>3.3333333333333335</v>
      </c>
      <c r="T19" s="9">
        <f t="shared" si="1"/>
        <v>3</v>
      </c>
      <c r="U19" s="9">
        <f t="shared" si="2"/>
        <v>3.6666666666666665</v>
      </c>
      <c r="V19" s="9">
        <f t="shared" si="3"/>
        <v>3</v>
      </c>
      <c r="W19" s="9">
        <f t="shared" si="4"/>
        <v>13</v>
      </c>
      <c r="X19" s="9">
        <f t="shared" si="5"/>
        <v>3.25</v>
      </c>
      <c r="Y19" s="1">
        <f t="shared" si="6"/>
        <v>2</v>
      </c>
      <c r="Z19" s="1">
        <v>2</v>
      </c>
      <c r="AA19" s="2" t="s">
        <v>25</v>
      </c>
      <c r="AB19" s="10" t="s">
        <v>84</v>
      </c>
    </row>
    <row r="20" spans="1:28" x14ac:dyDescent="0.35">
      <c r="A20" s="1" t="s">
        <v>106</v>
      </c>
      <c r="B20" s="1">
        <v>55</v>
      </c>
      <c r="C20" s="1" t="str">
        <f>VLOOKUP(A20,[1]Export!$1:$1048576,6)</f>
        <v>Masculino</v>
      </c>
      <c r="D20" s="1" t="s">
        <v>231</v>
      </c>
      <c r="E20" s="1" t="s">
        <v>236</v>
      </c>
      <c r="F20" s="1">
        <v>4</v>
      </c>
      <c r="G20" s="1">
        <v>5</v>
      </c>
      <c r="H20" s="1">
        <v>4</v>
      </c>
      <c r="I20" s="1">
        <v>4</v>
      </c>
      <c r="J20" s="1">
        <v>4</v>
      </c>
      <c r="K20" s="1">
        <v>4</v>
      </c>
      <c r="L20" s="1">
        <v>4</v>
      </c>
      <c r="M20" s="1">
        <v>5</v>
      </c>
      <c r="N20" s="1">
        <v>5</v>
      </c>
      <c r="O20" s="1">
        <v>4</v>
      </c>
      <c r="P20" s="1">
        <v>5</v>
      </c>
      <c r="Q20" s="1">
        <v>5</v>
      </c>
      <c r="R20" s="1">
        <v>4</v>
      </c>
      <c r="S20" s="9">
        <f t="shared" si="0"/>
        <v>4.333333333333333</v>
      </c>
      <c r="T20" s="9">
        <f t="shared" si="1"/>
        <v>4</v>
      </c>
      <c r="U20" s="9">
        <f t="shared" si="2"/>
        <v>4.666666666666667</v>
      </c>
      <c r="V20" s="9">
        <f t="shared" si="3"/>
        <v>4.666666666666667</v>
      </c>
      <c r="W20" s="9">
        <f t="shared" si="4"/>
        <v>17.666666666666668</v>
      </c>
      <c r="X20" s="9">
        <f t="shared" si="5"/>
        <v>4.416666666666667</v>
      </c>
      <c r="Y20" s="1">
        <f t="shared" si="6"/>
        <v>3</v>
      </c>
      <c r="Z20" s="1">
        <v>1</v>
      </c>
      <c r="AA20" s="2" t="s">
        <v>26</v>
      </c>
      <c r="AB20" s="1" t="s">
        <v>87</v>
      </c>
    </row>
    <row r="21" spans="1:28" x14ac:dyDescent="0.35">
      <c r="A21" s="1" t="s">
        <v>107</v>
      </c>
      <c r="B21" s="1">
        <v>55</v>
      </c>
      <c r="C21" s="1" t="str">
        <f>VLOOKUP(A21,[1]Export!$1:$1048576,6)</f>
        <v>Masculino</v>
      </c>
      <c r="D21" s="1" t="s">
        <v>231</v>
      </c>
      <c r="E21" s="1" t="s">
        <v>236</v>
      </c>
      <c r="F21" s="1">
        <v>4</v>
      </c>
      <c r="G21" s="1">
        <v>4</v>
      </c>
      <c r="H21" s="1">
        <v>3</v>
      </c>
      <c r="I21" s="1">
        <v>4</v>
      </c>
      <c r="J21" s="1">
        <v>4</v>
      </c>
      <c r="K21" s="1">
        <v>3</v>
      </c>
      <c r="L21" s="1">
        <v>4</v>
      </c>
      <c r="M21" s="1">
        <v>2</v>
      </c>
      <c r="N21" s="1">
        <v>2</v>
      </c>
      <c r="O21" s="1">
        <v>4</v>
      </c>
      <c r="P21" s="1">
        <v>4</v>
      </c>
      <c r="Q21" s="1">
        <v>3</v>
      </c>
      <c r="R21" s="1">
        <v>3</v>
      </c>
      <c r="S21" s="9">
        <f t="shared" si="0"/>
        <v>3.6666666666666665</v>
      </c>
      <c r="T21" s="9">
        <f t="shared" si="1"/>
        <v>3.6666666666666665</v>
      </c>
      <c r="U21" s="9">
        <f t="shared" si="2"/>
        <v>2.6666666666666665</v>
      </c>
      <c r="V21" s="9">
        <f t="shared" si="3"/>
        <v>3.3333333333333335</v>
      </c>
      <c r="W21" s="9">
        <f t="shared" si="4"/>
        <v>13.333333333333334</v>
      </c>
      <c r="X21" s="9">
        <f t="shared" si="5"/>
        <v>3.3333333333333335</v>
      </c>
      <c r="Y21" s="1">
        <f t="shared" si="6"/>
        <v>2</v>
      </c>
      <c r="Z21" s="1">
        <v>2</v>
      </c>
      <c r="AA21" s="2" t="s">
        <v>27</v>
      </c>
      <c r="AB21" s="10" t="s">
        <v>84</v>
      </c>
    </row>
    <row r="22" spans="1:28" x14ac:dyDescent="0.35">
      <c r="A22" s="1" t="s">
        <v>108</v>
      </c>
      <c r="B22" s="1">
        <v>39</v>
      </c>
      <c r="C22" s="1" t="str">
        <f>VLOOKUP(A22,[1]Export!$1:$1048576,6)</f>
        <v>Masculino</v>
      </c>
      <c r="D22" s="1" t="s">
        <v>231</v>
      </c>
      <c r="E22" s="1" t="s">
        <v>240</v>
      </c>
      <c r="F22" s="1">
        <v>4</v>
      </c>
      <c r="G22" s="1">
        <v>4</v>
      </c>
      <c r="H22" s="1">
        <v>3</v>
      </c>
      <c r="I22" s="1">
        <v>2</v>
      </c>
      <c r="J22" s="1">
        <v>4</v>
      </c>
      <c r="K22" s="1">
        <v>4</v>
      </c>
      <c r="L22" s="1">
        <v>2</v>
      </c>
      <c r="M22" s="1">
        <v>3</v>
      </c>
      <c r="N22" s="1">
        <v>2</v>
      </c>
      <c r="O22" s="1">
        <v>2</v>
      </c>
      <c r="P22" s="1">
        <v>3</v>
      </c>
      <c r="Q22" s="1">
        <v>2</v>
      </c>
      <c r="R22" s="1">
        <v>3</v>
      </c>
      <c r="S22" s="9">
        <f t="shared" si="0"/>
        <v>3</v>
      </c>
      <c r="T22" s="9">
        <f t="shared" si="1"/>
        <v>3.3333333333333335</v>
      </c>
      <c r="U22" s="9">
        <f t="shared" si="2"/>
        <v>2.3333333333333335</v>
      </c>
      <c r="V22" s="9">
        <f t="shared" si="3"/>
        <v>2.6666666666666665</v>
      </c>
      <c r="W22" s="9">
        <f t="shared" si="4"/>
        <v>11.333333333333334</v>
      </c>
      <c r="X22" s="9">
        <f t="shared" si="5"/>
        <v>2.8333333333333335</v>
      </c>
      <c r="Y22" s="1">
        <f t="shared" si="6"/>
        <v>1</v>
      </c>
      <c r="Z22" s="1">
        <v>2</v>
      </c>
      <c r="AA22" s="2" t="s">
        <v>28</v>
      </c>
      <c r="AB22" s="1" t="s">
        <v>83</v>
      </c>
    </row>
    <row r="23" spans="1:28" x14ac:dyDescent="0.35">
      <c r="A23" s="1" t="s">
        <v>109</v>
      </c>
      <c r="B23" s="1">
        <v>40</v>
      </c>
      <c r="C23" s="1" t="str">
        <f>VLOOKUP(A23,[1]Export!$1:$1048576,6)</f>
        <v>Masculino</v>
      </c>
      <c r="D23" s="1" t="s">
        <v>231</v>
      </c>
      <c r="E23" s="1" t="s">
        <v>236</v>
      </c>
      <c r="F23" s="1">
        <v>4</v>
      </c>
      <c r="G23" s="1">
        <v>3</v>
      </c>
      <c r="H23" s="1">
        <v>3</v>
      </c>
      <c r="I23" s="1">
        <v>2</v>
      </c>
      <c r="J23" s="1">
        <v>3</v>
      </c>
      <c r="K23" s="1">
        <v>4</v>
      </c>
      <c r="L23" s="1">
        <v>4</v>
      </c>
      <c r="M23" s="1">
        <v>4</v>
      </c>
      <c r="N23" s="1">
        <v>4</v>
      </c>
      <c r="O23" s="1">
        <v>2</v>
      </c>
      <c r="P23" s="1">
        <v>2</v>
      </c>
      <c r="Q23" s="1">
        <v>2</v>
      </c>
      <c r="R23" s="1">
        <v>2</v>
      </c>
      <c r="S23" s="9">
        <f t="shared" si="0"/>
        <v>2.6666666666666665</v>
      </c>
      <c r="T23" s="9">
        <f t="shared" si="1"/>
        <v>3.6666666666666665</v>
      </c>
      <c r="U23" s="9">
        <f t="shared" si="2"/>
        <v>3.3333333333333335</v>
      </c>
      <c r="V23" s="9">
        <f t="shared" si="3"/>
        <v>2</v>
      </c>
      <c r="W23" s="9">
        <f t="shared" si="4"/>
        <v>11.666666666666666</v>
      </c>
      <c r="X23" s="9">
        <f t="shared" si="5"/>
        <v>2.9166666666666665</v>
      </c>
      <c r="Y23" s="1">
        <f t="shared" si="6"/>
        <v>1</v>
      </c>
      <c r="Z23" s="1">
        <v>2</v>
      </c>
      <c r="AA23" s="2" t="s">
        <v>29</v>
      </c>
      <c r="AB23" s="1" t="s">
        <v>83</v>
      </c>
    </row>
    <row r="24" spans="1:28" x14ac:dyDescent="0.35">
      <c r="A24" s="1" t="s">
        <v>110</v>
      </c>
      <c r="B24" s="1">
        <v>43</v>
      </c>
      <c r="C24" s="1" t="str">
        <f>VLOOKUP(A24,[1]Export!$1:$1048576,6)</f>
        <v>Femenino</v>
      </c>
      <c r="D24" s="1" t="s">
        <v>233</v>
      </c>
      <c r="E24" s="1" t="s">
        <v>236</v>
      </c>
      <c r="F24" s="1">
        <v>4</v>
      </c>
      <c r="G24" s="1">
        <v>2</v>
      </c>
      <c r="H24" s="1">
        <v>2</v>
      </c>
      <c r="I24" s="1">
        <v>2</v>
      </c>
      <c r="J24" s="1">
        <v>2</v>
      </c>
      <c r="K24" s="1">
        <v>2</v>
      </c>
      <c r="L24" s="1">
        <v>2</v>
      </c>
      <c r="M24" s="1">
        <v>2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9">
        <f t="shared" si="0"/>
        <v>2</v>
      </c>
      <c r="T24" s="9">
        <f t="shared" si="1"/>
        <v>2</v>
      </c>
      <c r="U24" s="9">
        <f t="shared" si="2"/>
        <v>1.3333333333333333</v>
      </c>
      <c r="V24" s="9">
        <f t="shared" si="3"/>
        <v>1</v>
      </c>
      <c r="W24" s="9">
        <f t="shared" si="4"/>
        <v>6.333333333333333</v>
      </c>
      <c r="X24" s="9">
        <f t="shared" si="5"/>
        <v>1.5833333333333333</v>
      </c>
      <c r="Y24" s="1">
        <f t="shared" si="6"/>
        <v>1</v>
      </c>
      <c r="Z24" s="1">
        <v>2</v>
      </c>
      <c r="AA24" s="2" t="s">
        <v>30</v>
      </c>
      <c r="AB24" s="1" t="s">
        <v>83</v>
      </c>
    </row>
    <row r="25" spans="1:28" x14ac:dyDescent="0.35">
      <c r="A25" s="1" t="s">
        <v>111</v>
      </c>
      <c r="B25" s="1">
        <v>41</v>
      </c>
      <c r="C25" s="1" t="str">
        <f>VLOOKUP(A25,[1]Export!$1:$1048576,6)</f>
        <v>Masculino</v>
      </c>
      <c r="D25" s="1" t="s">
        <v>230</v>
      </c>
      <c r="E25" s="1" t="s">
        <v>236</v>
      </c>
      <c r="F25" s="1">
        <v>4</v>
      </c>
      <c r="G25" s="1">
        <v>5</v>
      </c>
      <c r="H25" s="1">
        <v>5</v>
      </c>
      <c r="I25" s="1">
        <v>5</v>
      </c>
      <c r="J25" s="1">
        <v>4</v>
      </c>
      <c r="K25" s="1">
        <v>5</v>
      </c>
      <c r="L25" s="1">
        <v>5</v>
      </c>
      <c r="M25" s="1">
        <v>4</v>
      </c>
      <c r="N25" s="1">
        <v>5</v>
      </c>
      <c r="O25" s="1">
        <v>4</v>
      </c>
      <c r="P25" s="1">
        <v>4</v>
      </c>
      <c r="Q25" s="1">
        <v>5</v>
      </c>
      <c r="R25" s="1">
        <v>4</v>
      </c>
      <c r="S25" s="9">
        <f t="shared" si="0"/>
        <v>5</v>
      </c>
      <c r="T25" s="9">
        <f t="shared" si="1"/>
        <v>4.666666666666667</v>
      </c>
      <c r="U25" s="9">
        <f t="shared" si="2"/>
        <v>4.333333333333333</v>
      </c>
      <c r="V25" s="9">
        <f t="shared" si="3"/>
        <v>4.333333333333333</v>
      </c>
      <c r="W25" s="9">
        <f t="shared" si="4"/>
        <v>18.333333333333332</v>
      </c>
      <c r="X25" s="9">
        <f t="shared" si="5"/>
        <v>4.583333333333333</v>
      </c>
      <c r="Y25" s="1">
        <f t="shared" si="6"/>
        <v>3</v>
      </c>
      <c r="Z25" s="1">
        <v>2</v>
      </c>
      <c r="AA25" s="2" t="s">
        <v>31</v>
      </c>
      <c r="AB25" s="1" t="s">
        <v>86</v>
      </c>
    </row>
    <row r="26" spans="1:28" x14ac:dyDescent="0.35">
      <c r="A26" s="1" t="s">
        <v>112</v>
      </c>
      <c r="B26" s="1">
        <v>43</v>
      </c>
      <c r="C26" s="1" t="str">
        <f>VLOOKUP(A26,[1]Export!$1:$1048576,6)</f>
        <v>Masculino</v>
      </c>
      <c r="D26" s="1" t="s">
        <v>231</v>
      </c>
      <c r="E26" s="1" t="s">
        <v>236</v>
      </c>
      <c r="F26" s="1">
        <v>4</v>
      </c>
      <c r="G26" s="1">
        <v>4</v>
      </c>
      <c r="H26" s="1">
        <v>4</v>
      </c>
      <c r="I26" s="1">
        <v>2</v>
      </c>
      <c r="J26" s="1">
        <v>4</v>
      </c>
      <c r="K26" s="1">
        <v>3</v>
      </c>
      <c r="L26" s="1">
        <v>4</v>
      </c>
      <c r="M26" s="1">
        <v>4</v>
      </c>
      <c r="N26" s="1">
        <v>4</v>
      </c>
      <c r="O26" s="1">
        <v>4</v>
      </c>
      <c r="P26" s="1">
        <v>4</v>
      </c>
      <c r="Q26" s="1">
        <v>2</v>
      </c>
      <c r="R26" s="1">
        <v>2</v>
      </c>
      <c r="S26" s="9">
        <f t="shared" si="0"/>
        <v>3.3333333333333335</v>
      </c>
      <c r="T26" s="9">
        <f t="shared" si="1"/>
        <v>3.6666666666666665</v>
      </c>
      <c r="U26" s="9">
        <f t="shared" si="2"/>
        <v>4</v>
      </c>
      <c r="V26" s="9">
        <f t="shared" si="3"/>
        <v>2.6666666666666665</v>
      </c>
      <c r="W26" s="9">
        <f t="shared" si="4"/>
        <v>13.666666666666666</v>
      </c>
      <c r="X26" s="9">
        <f t="shared" si="5"/>
        <v>3.4166666666666665</v>
      </c>
      <c r="Y26" s="1">
        <f t="shared" si="6"/>
        <v>2</v>
      </c>
      <c r="Z26" s="1">
        <v>2</v>
      </c>
      <c r="AA26" s="2" t="s">
        <v>32</v>
      </c>
      <c r="AB26" s="10" t="s">
        <v>84</v>
      </c>
    </row>
    <row r="27" spans="1:28" x14ac:dyDescent="0.35">
      <c r="A27" s="1" t="s">
        <v>113</v>
      </c>
      <c r="B27" s="1">
        <v>36</v>
      </c>
      <c r="C27" s="1" t="str">
        <f>VLOOKUP(A27,[1]Export!$1:$1048576,6)</f>
        <v>Femenino</v>
      </c>
      <c r="D27" s="1" t="s">
        <v>234</v>
      </c>
      <c r="E27" s="1" t="s">
        <v>240</v>
      </c>
      <c r="F27" s="1">
        <v>4</v>
      </c>
      <c r="G27" s="1">
        <v>1</v>
      </c>
      <c r="H27" s="1">
        <v>2</v>
      </c>
      <c r="I27" s="1">
        <v>2</v>
      </c>
      <c r="J27" s="1">
        <v>1</v>
      </c>
      <c r="K27" s="1">
        <v>2</v>
      </c>
      <c r="L27" s="1">
        <v>2</v>
      </c>
      <c r="M27" s="1">
        <v>2</v>
      </c>
      <c r="N27" s="1">
        <v>1</v>
      </c>
      <c r="O27" s="1">
        <v>1</v>
      </c>
      <c r="P27" s="1">
        <v>1</v>
      </c>
      <c r="Q27" s="1">
        <v>2</v>
      </c>
      <c r="R27" s="1">
        <v>2</v>
      </c>
      <c r="S27" s="9">
        <f t="shared" si="0"/>
        <v>1.6666666666666667</v>
      </c>
      <c r="T27" s="9">
        <f t="shared" si="1"/>
        <v>1.6666666666666667</v>
      </c>
      <c r="U27" s="9">
        <f t="shared" si="2"/>
        <v>1.3333333333333333</v>
      </c>
      <c r="V27" s="9">
        <f t="shared" si="3"/>
        <v>1.6666666666666667</v>
      </c>
      <c r="W27" s="9">
        <f t="shared" si="4"/>
        <v>6.3333333333333339</v>
      </c>
      <c r="X27" s="9">
        <f t="shared" si="5"/>
        <v>1.5833333333333335</v>
      </c>
      <c r="Y27" s="1">
        <f t="shared" si="6"/>
        <v>1</v>
      </c>
      <c r="Z27" s="1">
        <v>2</v>
      </c>
      <c r="AA27" s="2" t="s">
        <v>33</v>
      </c>
      <c r="AB27" s="1" t="s">
        <v>83</v>
      </c>
    </row>
    <row r="28" spans="1:28" x14ac:dyDescent="0.35">
      <c r="A28" s="1" t="s">
        <v>114</v>
      </c>
      <c r="B28" s="1">
        <v>56</v>
      </c>
      <c r="C28" s="1" t="str">
        <f>VLOOKUP(A28,[1]Export!$1:$1048576,6)</f>
        <v>Masculino</v>
      </c>
      <c r="D28" s="1" t="s">
        <v>231</v>
      </c>
      <c r="E28" s="1" t="s">
        <v>236</v>
      </c>
      <c r="F28" s="1">
        <v>4</v>
      </c>
      <c r="G28" s="1">
        <v>3</v>
      </c>
      <c r="H28" s="1">
        <v>4</v>
      </c>
      <c r="I28" s="1">
        <v>2</v>
      </c>
      <c r="J28" s="1">
        <v>2</v>
      </c>
      <c r="K28" s="1">
        <v>2</v>
      </c>
      <c r="L28" s="1">
        <v>3</v>
      </c>
      <c r="M28" s="1">
        <v>2</v>
      </c>
      <c r="N28" s="1">
        <v>4</v>
      </c>
      <c r="O28" s="1">
        <v>4</v>
      </c>
      <c r="P28" s="1">
        <v>3</v>
      </c>
      <c r="Q28" s="1">
        <v>2</v>
      </c>
      <c r="R28" s="1">
        <v>3</v>
      </c>
      <c r="S28" s="9">
        <f t="shared" si="0"/>
        <v>3</v>
      </c>
      <c r="T28" s="9">
        <f t="shared" si="1"/>
        <v>2.3333333333333335</v>
      </c>
      <c r="U28" s="9">
        <f t="shared" si="2"/>
        <v>3.3333333333333335</v>
      </c>
      <c r="V28" s="9">
        <f t="shared" si="3"/>
        <v>2.6666666666666665</v>
      </c>
      <c r="W28" s="9">
        <f t="shared" si="4"/>
        <v>11.333333333333334</v>
      </c>
      <c r="X28" s="9">
        <f t="shared" si="5"/>
        <v>2.8333333333333335</v>
      </c>
      <c r="Y28" s="1">
        <f t="shared" si="6"/>
        <v>1</v>
      </c>
      <c r="Z28" s="1">
        <v>1</v>
      </c>
      <c r="AA28" s="2" t="s">
        <v>34</v>
      </c>
      <c r="AB28" s="1" t="s">
        <v>82</v>
      </c>
    </row>
    <row r="29" spans="1:28" x14ac:dyDescent="0.35">
      <c r="A29" s="1" t="s">
        <v>115</v>
      </c>
      <c r="B29" s="1">
        <v>53</v>
      </c>
      <c r="C29" s="1" t="str">
        <f>VLOOKUP(A29,[1]Export!$1:$1048576,6)</f>
        <v>Masculino</v>
      </c>
      <c r="D29" s="1" t="s">
        <v>231</v>
      </c>
      <c r="E29" s="1" t="s">
        <v>236</v>
      </c>
      <c r="F29" s="1">
        <v>4</v>
      </c>
      <c r="G29" s="1">
        <v>2</v>
      </c>
      <c r="H29" s="1">
        <v>2</v>
      </c>
      <c r="I29" s="1">
        <v>2</v>
      </c>
      <c r="J29" s="1">
        <v>4</v>
      </c>
      <c r="K29" s="1">
        <v>4</v>
      </c>
      <c r="L29" s="1">
        <v>2</v>
      </c>
      <c r="M29" s="1">
        <v>2</v>
      </c>
      <c r="N29" s="1">
        <v>2</v>
      </c>
      <c r="O29" s="1">
        <v>2</v>
      </c>
      <c r="P29" s="1">
        <v>4</v>
      </c>
      <c r="Q29" s="1">
        <v>4</v>
      </c>
      <c r="R29" s="1">
        <v>2</v>
      </c>
      <c r="S29" s="9">
        <f t="shared" si="0"/>
        <v>2</v>
      </c>
      <c r="T29" s="9">
        <f t="shared" si="1"/>
        <v>3.3333333333333335</v>
      </c>
      <c r="U29" s="9">
        <f t="shared" si="2"/>
        <v>2</v>
      </c>
      <c r="V29" s="9">
        <f t="shared" si="3"/>
        <v>3.3333333333333335</v>
      </c>
      <c r="W29" s="9">
        <f t="shared" si="4"/>
        <v>10.666666666666668</v>
      </c>
      <c r="X29" s="9">
        <f t="shared" si="5"/>
        <v>2.666666666666667</v>
      </c>
      <c r="Y29" s="1">
        <f t="shared" si="6"/>
        <v>1</v>
      </c>
      <c r="Z29" s="1">
        <v>1</v>
      </c>
      <c r="AA29" s="2" t="s">
        <v>35</v>
      </c>
      <c r="AB29" s="1" t="s">
        <v>82</v>
      </c>
    </row>
    <row r="30" spans="1:28" x14ac:dyDescent="0.35">
      <c r="A30" s="1" t="s">
        <v>116</v>
      </c>
      <c r="B30" s="1">
        <v>48</v>
      </c>
      <c r="C30" s="1" t="str">
        <f>VLOOKUP(A30,[1]Export!$1:$1048576,6)</f>
        <v>Masculino</v>
      </c>
      <c r="D30" s="1" t="s">
        <v>231</v>
      </c>
      <c r="E30" s="1" t="s">
        <v>241</v>
      </c>
      <c r="F30" s="1">
        <v>4</v>
      </c>
      <c r="G30" s="1">
        <v>4</v>
      </c>
      <c r="H30" s="1">
        <v>3</v>
      </c>
      <c r="I30" s="1">
        <v>4</v>
      </c>
      <c r="J30" s="1">
        <v>2</v>
      </c>
      <c r="K30" s="1">
        <v>2</v>
      </c>
      <c r="L30" s="1">
        <v>4</v>
      </c>
      <c r="M30" s="1">
        <v>2</v>
      </c>
      <c r="N30" s="1">
        <v>3</v>
      </c>
      <c r="O30" s="1">
        <v>3</v>
      </c>
      <c r="P30" s="1">
        <v>2</v>
      </c>
      <c r="Q30" s="1">
        <v>2</v>
      </c>
      <c r="R30" s="1">
        <v>3</v>
      </c>
      <c r="S30" s="9">
        <f t="shared" si="0"/>
        <v>3.6666666666666665</v>
      </c>
      <c r="T30" s="9">
        <f t="shared" si="1"/>
        <v>2.6666666666666665</v>
      </c>
      <c r="U30" s="9">
        <f t="shared" si="2"/>
        <v>2.6666666666666665</v>
      </c>
      <c r="V30" s="9">
        <f t="shared" si="3"/>
        <v>2.3333333333333335</v>
      </c>
      <c r="W30" s="9">
        <f t="shared" si="4"/>
        <v>11.333333333333334</v>
      </c>
      <c r="X30" s="9">
        <f t="shared" si="5"/>
        <v>2.8333333333333335</v>
      </c>
      <c r="Y30" s="1">
        <f t="shared" si="6"/>
        <v>1</v>
      </c>
      <c r="Z30" s="1">
        <v>2</v>
      </c>
      <c r="AA30" s="2" t="s">
        <v>36</v>
      </c>
      <c r="AB30" s="1" t="s">
        <v>83</v>
      </c>
    </row>
    <row r="31" spans="1:28" x14ac:dyDescent="0.35">
      <c r="A31" s="1" t="s">
        <v>117</v>
      </c>
      <c r="B31" s="1">
        <v>33</v>
      </c>
      <c r="C31" s="1" t="str">
        <f>VLOOKUP(A31,[1]Export!$1:$1048576,6)</f>
        <v>Masculino</v>
      </c>
      <c r="D31" s="1" t="s">
        <v>232</v>
      </c>
      <c r="E31" s="1" t="s">
        <v>237</v>
      </c>
      <c r="F31" s="1">
        <v>4</v>
      </c>
      <c r="G31" s="1">
        <v>2</v>
      </c>
      <c r="H31" s="1">
        <v>4</v>
      </c>
      <c r="I31" s="1">
        <v>4</v>
      </c>
      <c r="J31" s="1">
        <v>2</v>
      </c>
      <c r="K31" s="1">
        <v>3</v>
      </c>
      <c r="L31" s="1">
        <v>3</v>
      </c>
      <c r="M31" s="1">
        <v>4</v>
      </c>
      <c r="N31" s="1">
        <v>4</v>
      </c>
      <c r="O31" s="1">
        <v>2</v>
      </c>
      <c r="P31" s="1">
        <v>4</v>
      </c>
      <c r="Q31" s="1">
        <v>4</v>
      </c>
      <c r="R31" s="1">
        <v>3</v>
      </c>
      <c r="S31" s="9">
        <f t="shared" si="0"/>
        <v>3.3333333333333335</v>
      </c>
      <c r="T31" s="9">
        <f t="shared" si="1"/>
        <v>2.6666666666666665</v>
      </c>
      <c r="U31" s="9">
        <f t="shared" si="2"/>
        <v>3.3333333333333335</v>
      </c>
      <c r="V31" s="9">
        <f t="shared" si="3"/>
        <v>3.6666666666666665</v>
      </c>
      <c r="W31" s="9">
        <f t="shared" si="4"/>
        <v>13</v>
      </c>
      <c r="X31" s="9">
        <f t="shared" si="5"/>
        <v>3.25</v>
      </c>
      <c r="Y31" s="1">
        <f t="shared" si="6"/>
        <v>2</v>
      </c>
      <c r="Z31" s="1">
        <v>2</v>
      </c>
      <c r="AA31" s="2" t="s">
        <v>37</v>
      </c>
      <c r="AB31" s="10" t="s">
        <v>84</v>
      </c>
    </row>
    <row r="32" spans="1:28" x14ac:dyDescent="0.35">
      <c r="A32" s="1" t="s">
        <v>118</v>
      </c>
      <c r="B32" s="1">
        <v>39</v>
      </c>
      <c r="C32" s="1" t="str">
        <f>VLOOKUP(A32,[1]Export!$1:$1048576,6)</f>
        <v>Masculino</v>
      </c>
      <c r="D32" s="1" t="s">
        <v>230</v>
      </c>
      <c r="E32" s="1" t="s">
        <v>236</v>
      </c>
      <c r="F32" s="1">
        <v>3</v>
      </c>
      <c r="G32" s="1">
        <v>5</v>
      </c>
      <c r="H32" s="1">
        <v>5</v>
      </c>
      <c r="I32" s="1">
        <v>5</v>
      </c>
      <c r="J32" s="1">
        <v>4</v>
      </c>
      <c r="K32" s="1">
        <v>5</v>
      </c>
      <c r="L32" s="1">
        <v>4</v>
      </c>
      <c r="M32" s="1">
        <v>4</v>
      </c>
      <c r="N32" s="1">
        <v>4</v>
      </c>
      <c r="O32" s="1">
        <v>4</v>
      </c>
      <c r="P32" s="1">
        <v>5</v>
      </c>
      <c r="Q32" s="1">
        <v>5</v>
      </c>
      <c r="R32" s="1">
        <v>4</v>
      </c>
      <c r="S32" s="9">
        <f t="shared" si="0"/>
        <v>5</v>
      </c>
      <c r="T32" s="9">
        <f t="shared" si="1"/>
        <v>4.333333333333333</v>
      </c>
      <c r="U32" s="9">
        <f t="shared" si="2"/>
        <v>4</v>
      </c>
      <c r="V32" s="9">
        <f t="shared" si="3"/>
        <v>4.666666666666667</v>
      </c>
      <c r="W32" s="9">
        <f t="shared" si="4"/>
        <v>18</v>
      </c>
      <c r="X32" s="9">
        <f t="shared" si="5"/>
        <v>4.5</v>
      </c>
      <c r="Y32" s="1">
        <f t="shared" si="6"/>
        <v>3</v>
      </c>
      <c r="Z32" s="1">
        <v>2</v>
      </c>
      <c r="AA32" s="2" t="s">
        <v>38</v>
      </c>
      <c r="AB32" s="1" t="s">
        <v>86</v>
      </c>
    </row>
    <row r="33" spans="1:28" x14ac:dyDescent="0.35">
      <c r="A33" s="1" t="s">
        <v>119</v>
      </c>
      <c r="B33" s="1">
        <v>33</v>
      </c>
      <c r="C33" s="1" t="str">
        <f>VLOOKUP(A33,[1]Export!$1:$1048576,6)</f>
        <v>Masculino</v>
      </c>
      <c r="D33" s="1" t="s">
        <v>233</v>
      </c>
      <c r="E33" s="1" t="s">
        <v>236</v>
      </c>
      <c r="F33" s="1">
        <v>4</v>
      </c>
      <c r="G33" s="1">
        <v>4</v>
      </c>
      <c r="H33" s="1">
        <v>3</v>
      </c>
      <c r="I33" s="1">
        <v>2</v>
      </c>
      <c r="J33" s="1">
        <v>4</v>
      </c>
      <c r="K33" s="1">
        <v>2</v>
      </c>
      <c r="L33" s="1">
        <v>2</v>
      </c>
      <c r="M33" s="1">
        <v>2</v>
      </c>
      <c r="N33" s="1">
        <v>4</v>
      </c>
      <c r="O33" s="1">
        <v>4</v>
      </c>
      <c r="P33" s="1">
        <v>3</v>
      </c>
      <c r="Q33" s="1">
        <v>3</v>
      </c>
      <c r="R33" s="1">
        <v>4</v>
      </c>
      <c r="S33" s="9">
        <f t="shared" si="0"/>
        <v>3</v>
      </c>
      <c r="T33" s="9">
        <f t="shared" si="1"/>
        <v>2.6666666666666665</v>
      </c>
      <c r="U33" s="9">
        <f t="shared" si="2"/>
        <v>3.3333333333333335</v>
      </c>
      <c r="V33" s="9">
        <f t="shared" si="3"/>
        <v>3.3333333333333335</v>
      </c>
      <c r="W33" s="9">
        <f t="shared" si="4"/>
        <v>12.333333333333334</v>
      </c>
      <c r="X33" s="9">
        <f t="shared" si="5"/>
        <v>3.0833333333333335</v>
      </c>
      <c r="Y33" s="1">
        <f t="shared" si="6"/>
        <v>2</v>
      </c>
      <c r="Z33" s="1">
        <v>2</v>
      </c>
      <c r="AA33" s="2" t="s">
        <v>30</v>
      </c>
      <c r="AB33" s="10" t="s">
        <v>84</v>
      </c>
    </row>
    <row r="34" spans="1:28" x14ac:dyDescent="0.35">
      <c r="A34" s="1" t="s">
        <v>120</v>
      </c>
      <c r="B34" s="1">
        <v>44</v>
      </c>
      <c r="C34" s="1" t="str">
        <f>VLOOKUP(A34,[1]Export!$1:$1048576,6)</f>
        <v>Masculino</v>
      </c>
      <c r="D34" s="1" t="s">
        <v>230</v>
      </c>
      <c r="E34" s="1" t="s">
        <v>236</v>
      </c>
      <c r="F34" s="1">
        <v>4</v>
      </c>
      <c r="G34" s="1">
        <v>1</v>
      </c>
      <c r="H34" s="1">
        <v>2</v>
      </c>
      <c r="I34" s="1">
        <v>1</v>
      </c>
      <c r="J34" s="1">
        <v>2</v>
      </c>
      <c r="K34" s="1">
        <v>1</v>
      </c>
      <c r="L34" s="1">
        <v>1</v>
      </c>
      <c r="M34" s="1">
        <v>1</v>
      </c>
      <c r="N34" s="1">
        <v>1</v>
      </c>
      <c r="O34" s="1">
        <v>2</v>
      </c>
      <c r="P34" s="1">
        <v>2</v>
      </c>
      <c r="Q34" s="1">
        <v>2</v>
      </c>
      <c r="R34" s="1">
        <v>1</v>
      </c>
      <c r="S34" s="9">
        <f t="shared" si="0"/>
        <v>1.3333333333333333</v>
      </c>
      <c r="T34" s="9">
        <f t="shared" si="1"/>
        <v>1.3333333333333333</v>
      </c>
      <c r="U34" s="9">
        <f t="shared" si="2"/>
        <v>1.3333333333333333</v>
      </c>
      <c r="V34" s="9">
        <f t="shared" si="3"/>
        <v>1.6666666666666667</v>
      </c>
      <c r="W34" s="9">
        <f t="shared" si="4"/>
        <v>5.666666666666667</v>
      </c>
      <c r="X34" s="9">
        <f t="shared" si="5"/>
        <v>1.4166666666666667</v>
      </c>
      <c r="Y34" s="1">
        <f t="shared" si="6"/>
        <v>1</v>
      </c>
      <c r="Z34" s="1">
        <v>2</v>
      </c>
      <c r="AA34" s="2" t="s">
        <v>31</v>
      </c>
      <c r="AB34" s="1" t="s">
        <v>83</v>
      </c>
    </row>
    <row r="35" spans="1:28" x14ac:dyDescent="0.35">
      <c r="A35" s="1" t="s">
        <v>121</v>
      </c>
      <c r="B35" s="1">
        <v>53</v>
      </c>
      <c r="C35" s="1" t="str">
        <f>VLOOKUP(A35,[1]Export!$1:$1048576,6)</f>
        <v>Masculino</v>
      </c>
      <c r="D35" s="1" t="s">
        <v>231</v>
      </c>
      <c r="E35" s="1" t="s">
        <v>236</v>
      </c>
      <c r="F35" s="1">
        <v>3</v>
      </c>
      <c r="G35" s="1">
        <v>2</v>
      </c>
      <c r="H35" s="1">
        <v>4</v>
      </c>
      <c r="I35" s="1">
        <v>4</v>
      </c>
      <c r="J35" s="1">
        <v>2</v>
      </c>
      <c r="K35" s="1">
        <v>4</v>
      </c>
      <c r="L35" s="1">
        <v>3</v>
      </c>
      <c r="M35" s="1">
        <v>4</v>
      </c>
      <c r="N35" s="1">
        <v>3</v>
      </c>
      <c r="O35" s="1">
        <v>2</v>
      </c>
      <c r="P35" s="1">
        <v>3</v>
      </c>
      <c r="Q35" s="1">
        <v>2</v>
      </c>
      <c r="R35" s="1">
        <v>3</v>
      </c>
      <c r="S35" s="9">
        <f t="shared" si="0"/>
        <v>3.3333333333333335</v>
      </c>
      <c r="T35" s="9">
        <f t="shared" si="1"/>
        <v>3</v>
      </c>
      <c r="U35" s="9">
        <f t="shared" si="2"/>
        <v>3</v>
      </c>
      <c r="V35" s="9">
        <f t="shared" si="3"/>
        <v>2.6666666666666665</v>
      </c>
      <c r="W35" s="9">
        <f t="shared" si="4"/>
        <v>12</v>
      </c>
      <c r="X35" s="9">
        <f t="shared" si="5"/>
        <v>3</v>
      </c>
      <c r="Y35" s="1">
        <f t="shared" si="6"/>
        <v>2</v>
      </c>
      <c r="Z35" s="1">
        <v>2</v>
      </c>
      <c r="AA35" s="2" t="s">
        <v>39</v>
      </c>
      <c r="AB35" s="10" t="s">
        <v>84</v>
      </c>
    </row>
    <row r="36" spans="1:28" x14ac:dyDescent="0.35">
      <c r="A36" s="1" t="s">
        <v>122</v>
      </c>
      <c r="B36" s="1">
        <v>32</v>
      </c>
      <c r="C36" s="1" t="str">
        <f>VLOOKUP(A36,[1]Export!$1:$1048576,6)</f>
        <v>Masculino</v>
      </c>
      <c r="D36" s="1" t="s">
        <v>232</v>
      </c>
      <c r="E36" s="1" t="s">
        <v>239</v>
      </c>
      <c r="F36" s="1">
        <v>3</v>
      </c>
      <c r="G36" s="1">
        <v>2</v>
      </c>
      <c r="H36" s="1">
        <v>2</v>
      </c>
      <c r="I36" s="1">
        <v>2</v>
      </c>
      <c r="J36" s="1">
        <v>2</v>
      </c>
      <c r="K36" s="1">
        <v>2</v>
      </c>
      <c r="L36" s="1">
        <v>3</v>
      </c>
      <c r="M36" s="1">
        <v>2</v>
      </c>
      <c r="N36" s="1">
        <v>3</v>
      </c>
      <c r="O36" s="1">
        <v>4</v>
      </c>
      <c r="P36" s="1">
        <v>2</v>
      </c>
      <c r="Q36" s="1">
        <v>3</v>
      </c>
      <c r="R36" s="1">
        <v>4</v>
      </c>
      <c r="S36" s="9">
        <f t="shared" si="0"/>
        <v>2</v>
      </c>
      <c r="T36" s="9">
        <f t="shared" si="1"/>
        <v>2.3333333333333335</v>
      </c>
      <c r="U36" s="9">
        <f t="shared" si="2"/>
        <v>3</v>
      </c>
      <c r="V36" s="9">
        <f t="shared" si="3"/>
        <v>3</v>
      </c>
      <c r="W36" s="9">
        <f t="shared" si="4"/>
        <v>10.333333333333334</v>
      </c>
      <c r="X36" s="9">
        <f t="shared" si="5"/>
        <v>2.5833333333333335</v>
      </c>
      <c r="Y36" s="1">
        <f t="shared" si="6"/>
        <v>1</v>
      </c>
      <c r="Z36" s="1">
        <v>2</v>
      </c>
      <c r="AA36" s="2" t="s">
        <v>40</v>
      </c>
      <c r="AB36" s="1" t="s">
        <v>83</v>
      </c>
    </row>
    <row r="37" spans="1:28" x14ac:dyDescent="0.35">
      <c r="A37" s="1" t="s">
        <v>123</v>
      </c>
      <c r="B37" s="1">
        <v>28</v>
      </c>
      <c r="C37" s="1" t="str">
        <f>VLOOKUP(A37,[1]Export!$1:$1048576,6)</f>
        <v>Femenino</v>
      </c>
      <c r="D37" s="1" t="s">
        <v>230</v>
      </c>
      <c r="E37" s="1" t="s">
        <v>236</v>
      </c>
      <c r="F37" s="1">
        <v>3</v>
      </c>
      <c r="G37" s="1">
        <v>5</v>
      </c>
      <c r="H37" s="1">
        <v>5</v>
      </c>
      <c r="I37" s="1">
        <v>5</v>
      </c>
      <c r="J37" s="1">
        <v>4</v>
      </c>
      <c r="K37" s="1">
        <v>5</v>
      </c>
      <c r="L37" s="1">
        <v>4</v>
      </c>
      <c r="M37" s="1">
        <v>4</v>
      </c>
      <c r="N37" s="1">
        <v>4</v>
      </c>
      <c r="O37" s="1">
        <v>5</v>
      </c>
      <c r="P37" s="1">
        <v>5</v>
      </c>
      <c r="Q37" s="1">
        <v>5</v>
      </c>
      <c r="R37" s="1">
        <v>5</v>
      </c>
      <c r="S37" s="9">
        <f t="shared" si="0"/>
        <v>5</v>
      </c>
      <c r="T37" s="9">
        <f t="shared" si="1"/>
        <v>4.333333333333333</v>
      </c>
      <c r="U37" s="9">
        <f t="shared" si="2"/>
        <v>4.333333333333333</v>
      </c>
      <c r="V37" s="9">
        <f t="shared" si="3"/>
        <v>5</v>
      </c>
      <c r="W37" s="9">
        <f t="shared" si="4"/>
        <v>18.666666666666664</v>
      </c>
      <c r="X37" s="9">
        <f t="shared" si="5"/>
        <v>4.6666666666666661</v>
      </c>
      <c r="Y37" s="1">
        <f t="shared" si="6"/>
        <v>3</v>
      </c>
      <c r="Z37" s="1">
        <v>2</v>
      </c>
      <c r="AA37" s="2" t="s">
        <v>30</v>
      </c>
      <c r="AB37" s="1" t="s">
        <v>86</v>
      </c>
    </row>
    <row r="38" spans="1:28" x14ac:dyDescent="0.35">
      <c r="A38" s="1" t="s">
        <v>124</v>
      </c>
      <c r="B38" s="1">
        <v>38</v>
      </c>
      <c r="C38" s="1" t="str">
        <f>VLOOKUP(A38,[1]Export!$1:$1048576,6)</f>
        <v>Masculino</v>
      </c>
      <c r="D38" s="1" t="s">
        <v>231</v>
      </c>
      <c r="E38" s="1" t="s">
        <v>236</v>
      </c>
      <c r="F38" s="1">
        <v>3</v>
      </c>
      <c r="G38" s="1">
        <v>5</v>
      </c>
      <c r="H38" s="1">
        <v>5</v>
      </c>
      <c r="I38" s="1">
        <v>5</v>
      </c>
      <c r="J38" s="1">
        <v>5</v>
      </c>
      <c r="K38" s="1">
        <v>5</v>
      </c>
      <c r="L38" s="1">
        <v>5</v>
      </c>
      <c r="M38" s="1">
        <v>4</v>
      </c>
      <c r="N38" s="1">
        <v>5</v>
      </c>
      <c r="O38" s="1">
        <v>4</v>
      </c>
      <c r="P38" s="1">
        <v>5</v>
      </c>
      <c r="Q38" s="1">
        <v>5</v>
      </c>
      <c r="R38" s="1">
        <v>4</v>
      </c>
      <c r="S38" s="9">
        <f t="shared" si="0"/>
        <v>5</v>
      </c>
      <c r="T38" s="9">
        <f t="shared" si="1"/>
        <v>5</v>
      </c>
      <c r="U38" s="9">
        <f t="shared" si="2"/>
        <v>4.333333333333333</v>
      </c>
      <c r="V38" s="9">
        <f t="shared" si="3"/>
        <v>4.666666666666667</v>
      </c>
      <c r="W38" s="9">
        <f t="shared" si="4"/>
        <v>19</v>
      </c>
      <c r="X38" s="9">
        <f t="shared" si="5"/>
        <v>4.75</v>
      </c>
      <c r="Y38" s="1">
        <f t="shared" si="6"/>
        <v>3</v>
      </c>
      <c r="Z38" s="1">
        <v>2</v>
      </c>
      <c r="AA38" s="2" t="s">
        <v>41</v>
      </c>
      <c r="AB38" s="1" t="s">
        <v>86</v>
      </c>
    </row>
    <row r="39" spans="1:28" x14ac:dyDescent="0.35">
      <c r="A39" s="1" t="s">
        <v>125</v>
      </c>
      <c r="B39" s="1">
        <v>39</v>
      </c>
      <c r="C39" s="1" t="str">
        <f>VLOOKUP(A39,[1]Export!$1:$1048576,6)</f>
        <v>Masculino</v>
      </c>
      <c r="D39" s="1" t="s">
        <v>231</v>
      </c>
      <c r="E39" s="1" t="s">
        <v>236</v>
      </c>
      <c r="F39" s="1">
        <v>3</v>
      </c>
      <c r="G39" s="1">
        <v>4</v>
      </c>
      <c r="H39" s="1">
        <v>2</v>
      </c>
      <c r="I39" s="1">
        <v>2</v>
      </c>
      <c r="J39" s="1">
        <v>4</v>
      </c>
      <c r="K39" s="1">
        <v>2</v>
      </c>
      <c r="L39" s="1">
        <v>2</v>
      </c>
      <c r="M39" s="1">
        <v>4</v>
      </c>
      <c r="N39" s="1">
        <v>2</v>
      </c>
      <c r="O39" s="1">
        <v>4</v>
      </c>
      <c r="P39" s="1">
        <v>3</v>
      </c>
      <c r="Q39" s="1">
        <v>3</v>
      </c>
      <c r="R39" s="1">
        <v>4</v>
      </c>
      <c r="S39" s="9">
        <f t="shared" si="0"/>
        <v>2.6666666666666665</v>
      </c>
      <c r="T39" s="9">
        <f t="shared" si="1"/>
        <v>2.6666666666666665</v>
      </c>
      <c r="U39" s="9">
        <f t="shared" si="2"/>
        <v>3.3333333333333335</v>
      </c>
      <c r="V39" s="9">
        <f t="shared" si="3"/>
        <v>3.3333333333333335</v>
      </c>
      <c r="W39" s="9">
        <f t="shared" si="4"/>
        <v>12</v>
      </c>
      <c r="X39" s="9">
        <f t="shared" si="5"/>
        <v>3</v>
      </c>
      <c r="Y39" s="1">
        <f t="shared" si="6"/>
        <v>2</v>
      </c>
      <c r="Z39" s="1">
        <v>2</v>
      </c>
      <c r="AA39" s="2" t="s">
        <v>33</v>
      </c>
      <c r="AB39" s="10" t="s">
        <v>84</v>
      </c>
    </row>
    <row r="40" spans="1:28" x14ac:dyDescent="0.35">
      <c r="A40" s="1" t="s">
        <v>126</v>
      </c>
      <c r="B40" s="1">
        <v>37</v>
      </c>
      <c r="C40" s="1" t="str">
        <f>VLOOKUP(A40,[1]Export!$1:$1048576,6)</f>
        <v>Masculino</v>
      </c>
      <c r="D40" s="1" t="s">
        <v>233</v>
      </c>
      <c r="E40" s="1" t="s">
        <v>240</v>
      </c>
      <c r="F40" s="1">
        <v>3</v>
      </c>
      <c r="G40" s="1">
        <v>3</v>
      </c>
      <c r="H40" s="1">
        <v>3</v>
      </c>
      <c r="I40" s="1">
        <v>3</v>
      </c>
      <c r="J40" s="1">
        <v>3</v>
      </c>
      <c r="K40" s="1">
        <v>2</v>
      </c>
      <c r="L40" s="1">
        <v>4</v>
      </c>
      <c r="M40" s="1">
        <v>4</v>
      </c>
      <c r="N40" s="1">
        <v>3</v>
      </c>
      <c r="O40" s="1">
        <v>2</v>
      </c>
      <c r="P40" s="1">
        <v>3</v>
      </c>
      <c r="Q40" s="1">
        <v>3</v>
      </c>
      <c r="R40" s="1">
        <v>3</v>
      </c>
      <c r="S40" s="9">
        <f t="shared" si="0"/>
        <v>3</v>
      </c>
      <c r="T40" s="9">
        <f t="shared" si="1"/>
        <v>3</v>
      </c>
      <c r="U40" s="9">
        <f t="shared" si="2"/>
        <v>3</v>
      </c>
      <c r="V40" s="9">
        <f t="shared" si="3"/>
        <v>3</v>
      </c>
      <c r="W40" s="9">
        <f t="shared" si="4"/>
        <v>12</v>
      </c>
      <c r="X40" s="9">
        <f t="shared" si="5"/>
        <v>3</v>
      </c>
      <c r="Y40" s="1">
        <f t="shared" si="6"/>
        <v>2</v>
      </c>
      <c r="Z40" s="1">
        <v>2</v>
      </c>
      <c r="AA40" s="2" t="s">
        <v>42</v>
      </c>
      <c r="AB40" s="10" t="s">
        <v>84</v>
      </c>
    </row>
    <row r="41" spans="1:28" x14ac:dyDescent="0.35">
      <c r="A41" s="1" t="s">
        <v>127</v>
      </c>
      <c r="B41" s="1">
        <v>31</v>
      </c>
      <c r="C41" s="1" t="str">
        <f>VLOOKUP(A41,[1]Export!$1:$1048576,6)</f>
        <v>Femenino</v>
      </c>
      <c r="D41" s="1" t="s">
        <v>231</v>
      </c>
      <c r="E41" s="1" t="s">
        <v>236</v>
      </c>
      <c r="F41" s="1">
        <v>3</v>
      </c>
      <c r="G41" s="1">
        <v>3</v>
      </c>
      <c r="H41" s="1">
        <v>2</v>
      </c>
      <c r="I41" s="1">
        <v>3</v>
      </c>
      <c r="J41" s="1">
        <v>4</v>
      </c>
      <c r="K41" s="1">
        <v>3</v>
      </c>
      <c r="L41" s="1">
        <v>3</v>
      </c>
      <c r="M41" s="1">
        <v>4</v>
      </c>
      <c r="N41" s="1">
        <v>2</v>
      </c>
      <c r="O41" s="1">
        <v>4</v>
      </c>
      <c r="P41" s="1">
        <v>3</v>
      </c>
      <c r="Q41" s="1">
        <v>4</v>
      </c>
      <c r="R41" s="1">
        <v>2</v>
      </c>
      <c r="S41" s="9">
        <f t="shared" si="0"/>
        <v>2.6666666666666665</v>
      </c>
      <c r="T41" s="9">
        <f t="shared" si="1"/>
        <v>3.3333333333333335</v>
      </c>
      <c r="U41" s="9">
        <f t="shared" si="2"/>
        <v>3.3333333333333335</v>
      </c>
      <c r="V41" s="9">
        <f t="shared" si="3"/>
        <v>3</v>
      </c>
      <c r="W41" s="9">
        <f t="shared" si="4"/>
        <v>12.333333333333334</v>
      </c>
      <c r="X41" s="9">
        <f t="shared" si="5"/>
        <v>3.0833333333333335</v>
      </c>
      <c r="Y41" s="1">
        <f t="shared" si="6"/>
        <v>2</v>
      </c>
      <c r="Z41" s="1">
        <v>2</v>
      </c>
      <c r="AA41" s="2">
        <v>3.4</v>
      </c>
      <c r="AB41" s="10" t="s">
        <v>84</v>
      </c>
    </row>
    <row r="42" spans="1:28" x14ac:dyDescent="0.35">
      <c r="A42" s="1" t="s">
        <v>128</v>
      </c>
      <c r="B42" s="1">
        <v>34</v>
      </c>
      <c r="C42" s="1" t="str">
        <f>VLOOKUP(A42,[1]Export!$1:$1048576,6)</f>
        <v>Masculino</v>
      </c>
      <c r="D42" s="1" t="s">
        <v>231</v>
      </c>
      <c r="E42" s="1" t="s">
        <v>236</v>
      </c>
      <c r="F42" s="1">
        <v>3</v>
      </c>
      <c r="G42" s="1">
        <v>3</v>
      </c>
      <c r="H42" s="1">
        <v>2</v>
      </c>
      <c r="I42" s="1">
        <v>2</v>
      </c>
      <c r="J42" s="1">
        <v>2</v>
      </c>
      <c r="K42" s="1">
        <v>3</v>
      </c>
      <c r="L42" s="1">
        <v>4</v>
      </c>
      <c r="M42" s="1">
        <v>2</v>
      </c>
      <c r="N42" s="1">
        <v>3</v>
      </c>
      <c r="O42" s="1">
        <v>4</v>
      </c>
      <c r="P42" s="1">
        <v>2</v>
      </c>
      <c r="Q42" s="1">
        <v>4</v>
      </c>
      <c r="R42" s="1">
        <v>2</v>
      </c>
      <c r="S42" s="9">
        <f t="shared" si="0"/>
        <v>2.3333333333333335</v>
      </c>
      <c r="T42" s="9">
        <f t="shared" si="1"/>
        <v>3</v>
      </c>
      <c r="U42" s="9">
        <f t="shared" si="2"/>
        <v>3</v>
      </c>
      <c r="V42" s="9">
        <f t="shared" si="3"/>
        <v>2.6666666666666665</v>
      </c>
      <c r="W42" s="9">
        <f t="shared" si="4"/>
        <v>11</v>
      </c>
      <c r="X42" s="9">
        <f t="shared" si="5"/>
        <v>2.75</v>
      </c>
      <c r="Y42" s="1">
        <f t="shared" si="6"/>
        <v>1</v>
      </c>
      <c r="Z42" s="1">
        <v>2</v>
      </c>
      <c r="AA42" s="2" t="s">
        <v>43</v>
      </c>
      <c r="AB42" s="1" t="s">
        <v>83</v>
      </c>
    </row>
    <row r="43" spans="1:28" x14ac:dyDescent="0.35">
      <c r="A43" s="1" t="s">
        <v>129</v>
      </c>
      <c r="B43" s="1">
        <v>45</v>
      </c>
      <c r="C43" s="1" t="str">
        <f>VLOOKUP(A43,[1]Export!$1:$1048576,6)</f>
        <v>Masculino</v>
      </c>
      <c r="D43" s="1" t="s">
        <v>234</v>
      </c>
      <c r="E43" s="1" t="s">
        <v>239</v>
      </c>
      <c r="F43" s="1">
        <v>3</v>
      </c>
      <c r="G43" s="1">
        <v>3</v>
      </c>
      <c r="H43" s="1">
        <v>4</v>
      </c>
      <c r="I43" s="1">
        <v>3</v>
      </c>
      <c r="J43" s="1">
        <v>2</v>
      </c>
      <c r="K43" s="1">
        <v>2</v>
      </c>
      <c r="L43" s="1">
        <v>3</v>
      </c>
      <c r="M43" s="1">
        <v>3</v>
      </c>
      <c r="N43" s="1">
        <v>3</v>
      </c>
      <c r="O43" s="1">
        <v>2</v>
      </c>
      <c r="P43" s="1">
        <v>4</v>
      </c>
      <c r="Q43" s="1">
        <v>2</v>
      </c>
      <c r="R43" s="1">
        <v>3</v>
      </c>
      <c r="S43" s="9">
        <f t="shared" si="0"/>
        <v>3.3333333333333335</v>
      </c>
      <c r="T43" s="9">
        <f t="shared" si="1"/>
        <v>2.3333333333333335</v>
      </c>
      <c r="U43" s="9">
        <f t="shared" si="2"/>
        <v>2.6666666666666665</v>
      </c>
      <c r="V43" s="9">
        <f t="shared" si="3"/>
        <v>3</v>
      </c>
      <c r="W43" s="9">
        <f t="shared" si="4"/>
        <v>11.333333333333334</v>
      </c>
      <c r="X43" s="9">
        <f t="shared" si="5"/>
        <v>2.8333333333333335</v>
      </c>
      <c r="Y43" s="1">
        <f t="shared" si="6"/>
        <v>1</v>
      </c>
      <c r="Z43" s="1">
        <v>2</v>
      </c>
      <c r="AA43" s="2" t="s">
        <v>28</v>
      </c>
      <c r="AB43" s="1" t="s">
        <v>83</v>
      </c>
    </row>
    <row r="44" spans="1:28" x14ac:dyDescent="0.35">
      <c r="A44" s="1" t="s">
        <v>130</v>
      </c>
      <c r="B44" s="1">
        <v>35</v>
      </c>
      <c r="C44" s="1" t="str">
        <f>VLOOKUP(A44,[1]Export!$1:$1048576,6)</f>
        <v>Masculino</v>
      </c>
      <c r="D44" s="1" t="s">
        <v>231</v>
      </c>
      <c r="E44" s="1" t="s">
        <v>236</v>
      </c>
      <c r="F44" s="1">
        <v>3</v>
      </c>
      <c r="G44" s="1">
        <v>4</v>
      </c>
      <c r="H44" s="1">
        <v>2</v>
      </c>
      <c r="I44" s="1">
        <v>3</v>
      </c>
      <c r="J44" s="1">
        <v>2</v>
      </c>
      <c r="K44" s="1">
        <v>2</v>
      </c>
      <c r="L44" s="1">
        <v>4</v>
      </c>
      <c r="M44" s="1">
        <v>2</v>
      </c>
      <c r="N44" s="1">
        <v>2</v>
      </c>
      <c r="O44" s="1">
        <v>2</v>
      </c>
      <c r="P44" s="1">
        <v>4</v>
      </c>
      <c r="Q44" s="1">
        <v>3</v>
      </c>
      <c r="R44" s="1">
        <v>4</v>
      </c>
      <c r="S44" s="9">
        <f t="shared" si="0"/>
        <v>3</v>
      </c>
      <c r="T44" s="9">
        <f t="shared" si="1"/>
        <v>2.6666666666666665</v>
      </c>
      <c r="U44" s="9">
        <f t="shared" si="2"/>
        <v>2</v>
      </c>
      <c r="V44" s="9">
        <f t="shared" si="3"/>
        <v>3.6666666666666665</v>
      </c>
      <c r="W44" s="9">
        <f t="shared" si="4"/>
        <v>11.333333333333332</v>
      </c>
      <c r="X44" s="9">
        <f t="shared" si="5"/>
        <v>2.833333333333333</v>
      </c>
      <c r="Y44" s="1">
        <f t="shared" si="6"/>
        <v>1</v>
      </c>
      <c r="Z44" s="1">
        <v>2</v>
      </c>
      <c r="AA44" s="2" t="s">
        <v>32</v>
      </c>
      <c r="AB44" s="1" t="s">
        <v>83</v>
      </c>
    </row>
    <row r="45" spans="1:28" x14ac:dyDescent="0.35">
      <c r="A45" s="1" t="s">
        <v>131</v>
      </c>
      <c r="B45" s="1">
        <v>47</v>
      </c>
      <c r="C45" s="1" t="str">
        <f>VLOOKUP(A45,[1]Export!$1:$1048576,6)</f>
        <v>Masculino</v>
      </c>
      <c r="D45" s="1" t="s">
        <v>231</v>
      </c>
      <c r="E45" s="1" t="s">
        <v>240</v>
      </c>
      <c r="F45" s="1">
        <v>3</v>
      </c>
      <c r="G45" s="1">
        <v>3</v>
      </c>
      <c r="H45" s="1">
        <v>4</v>
      </c>
      <c r="I45" s="1">
        <v>2</v>
      </c>
      <c r="J45" s="1">
        <v>3</v>
      </c>
      <c r="K45" s="1">
        <v>3</v>
      </c>
      <c r="L45" s="1">
        <v>3</v>
      </c>
      <c r="M45" s="1">
        <v>2</v>
      </c>
      <c r="N45" s="1">
        <v>4</v>
      </c>
      <c r="O45" s="1">
        <v>4</v>
      </c>
      <c r="P45" s="1">
        <v>3</v>
      </c>
      <c r="Q45" s="1">
        <v>4</v>
      </c>
      <c r="R45" s="1">
        <v>2</v>
      </c>
      <c r="S45" s="9">
        <f t="shared" si="0"/>
        <v>3</v>
      </c>
      <c r="T45" s="9">
        <f t="shared" si="1"/>
        <v>3</v>
      </c>
      <c r="U45" s="9">
        <f t="shared" si="2"/>
        <v>3.3333333333333335</v>
      </c>
      <c r="V45" s="9">
        <f t="shared" si="3"/>
        <v>3</v>
      </c>
      <c r="W45" s="9">
        <f t="shared" si="4"/>
        <v>12.333333333333334</v>
      </c>
      <c r="X45" s="9">
        <f t="shared" si="5"/>
        <v>3.0833333333333335</v>
      </c>
      <c r="Y45" s="1">
        <f t="shared" si="6"/>
        <v>2</v>
      </c>
      <c r="Z45" s="1">
        <v>2</v>
      </c>
      <c r="AA45" s="2" t="s">
        <v>44</v>
      </c>
      <c r="AB45" s="10" t="s">
        <v>84</v>
      </c>
    </row>
    <row r="46" spans="1:28" x14ac:dyDescent="0.35">
      <c r="A46" s="1" t="s">
        <v>132</v>
      </c>
      <c r="B46" s="1">
        <v>44</v>
      </c>
      <c r="C46" s="1" t="str">
        <f>VLOOKUP(A46,[1]Export!$1:$1048576,6)</f>
        <v>Masculino</v>
      </c>
      <c r="D46" s="1" t="s">
        <v>231</v>
      </c>
      <c r="E46" s="1" t="s">
        <v>238</v>
      </c>
      <c r="F46" s="1">
        <v>3</v>
      </c>
      <c r="G46" s="1">
        <v>3</v>
      </c>
      <c r="H46" s="1">
        <v>4</v>
      </c>
      <c r="I46" s="1">
        <v>3</v>
      </c>
      <c r="J46" s="1">
        <v>4</v>
      </c>
      <c r="K46" s="1">
        <v>3</v>
      </c>
      <c r="L46" s="1">
        <v>3</v>
      </c>
      <c r="M46" s="1">
        <v>2</v>
      </c>
      <c r="N46" s="1">
        <v>2</v>
      </c>
      <c r="O46" s="1">
        <v>3</v>
      </c>
      <c r="P46" s="1">
        <v>4</v>
      </c>
      <c r="Q46" s="1">
        <v>4</v>
      </c>
      <c r="R46" s="1">
        <v>2</v>
      </c>
      <c r="S46" s="9">
        <f t="shared" si="0"/>
        <v>3.3333333333333335</v>
      </c>
      <c r="T46" s="9">
        <f t="shared" si="1"/>
        <v>3.3333333333333335</v>
      </c>
      <c r="U46" s="9">
        <f t="shared" si="2"/>
        <v>2.3333333333333335</v>
      </c>
      <c r="V46" s="9">
        <f t="shared" si="3"/>
        <v>3.3333333333333335</v>
      </c>
      <c r="W46" s="9">
        <f t="shared" si="4"/>
        <v>12.333333333333334</v>
      </c>
      <c r="X46" s="9">
        <f t="shared" si="5"/>
        <v>3.0833333333333335</v>
      </c>
      <c r="Y46" s="1">
        <f t="shared" si="6"/>
        <v>2</v>
      </c>
      <c r="Z46" s="1">
        <v>2</v>
      </c>
      <c r="AA46" s="2" t="s">
        <v>45</v>
      </c>
      <c r="AB46" s="10" t="s">
        <v>84</v>
      </c>
    </row>
    <row r="47" spans="1:28" x14ac:dyDescent="0.35">
      <c r="A47" s="1" t="s">
        <v>133</v>
      </c>
      <c r="B47" s="1">
        <v>45</v>
      </c>
      <c r="C47" s="1" t="str">
        <f>VLOOKUP(A47,[1]Export!$1:$1048576,6)</f>
        <v>Masculino</v>
      </c>
      <c r="D47" s="1" t="s">
        <v>231</v>
      </c>
      <c r="E47" s="1" t="s">
        <v>236</v>
      </c>
      <c r="F47" s="1">
        <v>3</v>
      </c>
      <c r="G47" s="1">
        <v>4</v>
      </c>
      <c r="H47" s="1">
        <v>4</v>
      </c>
      <c r="I47" s="1">
        <v>3</v>
      </c>
      <c r="J47" s="1">
        <v>3</v>
      </c>
      <c r="K47" s="1">
        <v>2</v>
      </c>
      <c r="L47" s="1">
        <v>3</v>
      </c>
      <c r="M47" s="1">
        <v>4</v>
      </c>
      <c r="N47" s="1">
        <v>4</v>
      </c>
      <c r="O47" s="1">
        <v>2</v>
      </c>
      <c r="P47" s="1">
        <v>2</v>
      </c>
      <c r="Q47" s="1">
        <v>4</v>
      </c>
      <c r="R47" s="1">
        <v>4</v>
      </c>
      <c r="S47" s="9">
        <f t="shared" si="0"/>
        <v>3.6666666666666665</v>
      </c>
      <c r="T47" s="9">
        <f t="shared" si="1"/>
        <v>2.6666666666666665</v>
      </c>
      <c r="U47" s="9">
        <f t="shared" si="2"/>
        <v>3.3333333333333335</v>
      </c>
      <c r="V47" s="9">
        <f t="shared" si="3"/>
        <v>3.3333333333333335</v>
      </c>
      <c r="W47" s="9">
        <f t="shared" si="4"/>
        <v>13</v>
      </c>
      <c r="X47" s="9">
        <f t="shared" si="5"/>
        <v>3.25</v>
      </c>
      <c r="Y47" s="1">
        <f t="shared" si="6"/>
        <v>2</v>
      </c>
      <c r="Z47" s="1">
        <v>2</v>
      </c>
      <c r="AA47" s="2" t="s">
        <v>41</v>
      </c>
      <c r="AB47" s="10" t="s">
        <v>84</v>
      </c>
    </row>
    <row r="48" spans="1:28" x14ac:dyDescent="0.35">
      <c r="A48" s="1" t="s">
        <v>134</v>
      </c>
      <c r="B48" s="1">
        <v>40</v>
      </c>
      <c r="C48" s="1" t="str">
        <f>VLOOKUP(A48,[1]Export!$1:$1048576,6)</f>
        <v>Femenino</v>
      </c>
      <c r="D48" s="1" t="s">
        <v>234</v>
      </c>
      <c r="E48" s="1" t="s">
        <v>236</v>
      </c>
      <c r="F48" s="1">
        <v>3</v>
      </c>
      <c r="G48" s="1">
        <v>4</v>
      </c>
      <c r="H48" s="1">
        <v>2</v>
      </c>
      <c r="I48" s="1">
        <v>2</v>
      </c>
      <c r="J48" s="1">
        <v>3</v>
      </c>
      <c r="K48" s="1">
        <v>4</v>
      </c>
      <c r="L48" s="1">
        <v>4</v>
      </c>
      <c r="M48" s="1">
        <v>2</v>
      </c>
      <c r="N48" s="1">
        <v>3</v>
      </c>
      <c r="O48" s="1">
        <v>3</v>
      </c>
      <c r="P48" s="1">
        <v>3</v>
      </c>
      <c r="Q48" s="1">
        <v>2</v>
      </c>
      <c r="R48" s="1">
        <v>2</v>
      </c>
      <c r="S48" s="9">
        <f t="shared" si="0"/>
        <v>2.6666666666666665</v>
      </c>
      <c r="T48" s="9">
        <f t="shared" si="1"/>
        <v>3.6666666666666665</v>
      </c>
      <c r="U48" s="9">
        <f t="shared" si="2"/>
        <v>2.6666666666666665</v>
      </c>
      <c r="V48" s="9">
        <f t="shared" si="3"/>
        <v>2.3333333333333335</v>
      </c>
      <c r="W48" s="9">
        <f t="shared" si="4"/>
        <v>11.333333333333334</v>
      </c>
      <c r="X48" s="9">
        <f t="shared" si="5"/>
        <v>2.8333333333333335</v>
      </c>
      <c r="Y48" s="1">
        <f t="shared" si="6"/>
        <v>1</v>
      </c>
      <c r="Z48" s="1">
        <v>2</v>
      </c>
      <c r="AA48" s="2" t="s">
        <v>33</v>
      </c>
      <c r="AB48" s="1" t="s">
        <v>83</v>
      </c>
    </row>
    <row r="49" spans="1:28" x14ac:dyDescent="0.35">
      <c r="A49" s="1" t="s">
        <v>135</v>
      </c>
      <c r="B49" s="1">
        <v>51</v>
      </c>
      <c r="C49" s="1" t="str">
        <f>VLOOKUP(A49,[1]Export!$1:$1048576,6)</f>
        <v>Femenino</v>
      </c>
      <c r="D49" s="1" t="s">
        <v>235</v>
      </c>
      <c r="E49" s="1" t="s">
        <v>236</v>
      </c>
      <c r="F49" s="1">
        <v>3</v>
      </c>
      <c r="G49" s="1">
        <v>1</v>
      </c>
      <c r="H49" s="1">
        <v>1</v>
      </c>
      <c r="I49" s="1">
        <v>1</v>
      </c>
      <c r="J49" s="1">
        <v>1</v>
      </c>
      <c r="K49" s="1">
        <v>2</v>
      </c>
      <c r="L49" s="1">
        <v>1</v>
      </c>
      <c r="M49" s="1">
        <v>2</v>
      </c>
      <c r="N49" s="1">
        <v>1</v>
      </c>
      <c r="O49" s="1">
        <v>2</v>
      </c>
      <c r="P49" s="1">
        <v>2</v>
      </c>
      <c r="Q49" s="1">
        <v>1</v>
      </c>
      <c r="R49" s="1">
        <v>2</v>
      </c>
      <c r="S49" s="9">
        <f t="shared" si="0"/>
        <v>1</v>
      </c>
      <c r="T49" s="9">
        <f t="shared" si="1"/>
        <v>1.3333333333333333</v>
      </c>
      <c r="U49" s="9">
        <f t="shared" si="2"/>
        <v>1.6666666666666667</v>
      </c>
      <c r="V49" s="9">
        <f t="shared" si="3"/>
        <v>1.6666666666666667</v>
      </c>
      <c r="W49" s="9">
        <f t="shared" si="4"/>
        <v>5.666666666666667</v>
      </c>
      <c r="X49" s="9">
        <f t="shared" si="5"/>
        <v>1.4166666666666667</v>
      </c>
      <c r="Y49" s="1">
        <f t="shared" si="6"/>
        <v>1</v>
      </c>
      <c r="Z49" s="1">
        <v>2</v>
      </c>
      <c r="AA49" s="2" t="s">
        <v>46</v>
      </c>
      <c r="AB49" s="1" t="s">
        <v>83</v>
      </c>
    </row>
    <row r="50" spans="1:28" x14ac:dyDescent="0.35">
      <c r="A50" s="1" t="s">
        <v>136</v>
      </c>
      <c r="B50" s="1">
        <v>33</v>
      </c>
      <c r="C50" s="1" t="str">
        <f>VLOOKUP(A50,[1]Export!$1:$1048576,6)</f>
        <v>Femenino</v>
      </c>
      <c r="D50" s="1" t="s">
        <v>231</v>
      </c>
      <c r="E50" s="1" t="s">
        <v>238</v>
      </c>
      <c r="F50" s="1">
        <v>2</v>
      </c>
      <c r="G50" s="1">
        <v>3</v>
      </c>
      <c r="H50" s="1">
        <v>2</v>
      </c>
      <c r="I50" s="1">
        <v>2</v>
      </c>
      <c r="J50" s="1">
        <v>2</v>
      </c>
      <c r="K50" s="1">
        <v>2</v>
      </c>
      <c r="L50" s="1">
        <v>3</v>
      </c>
      <c r="M50" s="1">
        <v>3</v>
      </c>
      <c r="N50" s="1">
        <v>4</v>
      </c>
      <c r="O50" s="1">
        <v>4</v>
      </c>
      <c r="P50" s="1">
        <v>3</v>
      </c>
      <c r="Q50" s="1">
        <v>3</v>
      </c>
      <c r="R50" s="1">
        <v>3</v>
      </c>
      <c r="S50" s="9">
        <f t="shared" si="0"/>
        <v>2.3333333333333335</v>
      </c>
      <c r="T50" s="9">
        <f t="shared" si="1"/>
        <v>2.3333333333333335</v>
      </c>
      <c r="U50" s="9">
        <f t="shared" si="2"/>
        <v>3.6666666666666665</v>
      </c>
      <c r="V50" s="9">
        <f t="shared" si="3"/>
        <v>3</v>
      </c>
      <c r="W50" s="9">
        <f t="shared" si="4"/>
        <v>11.333333333333334</v>
      </c>
      <c r="X50" s="9">
        <f t="shared" si="5"/>
        <v>2.8333333333333335</v>
      </c>
      <c r="Y50" s="1">
        <f t="shared" si="6"/>
        <v>1</v>
      </c>
      <c r="Z50" s="1">
        <v>2</v>
      </c>
      <c r="AA50" s="2" t="s">
        <v>47</v>
      </c>
      <c r="AB50" s="1" t="s">
        <v>83</v>
      </c>
    </row>
    <row r="51" spans="1:28" x14ac:dyDescent="0.35">
      <c r="A51" s="1" t="s">
        <v>137</v>
      </c>
      <c r="B51" s="1">
        <v>50</v>
      </c>
      <c r="C51" s="1" t="str">
        <f>VLOOKUP(A51,[1]Export!$1:$1048576,6)</f>
        <v>Femenino</v>
      </c>
      <c r="D51" s="1" t="s">
        <v>234</v>
      </c>
      <c r="E51" s="1" t="s">
        <v>239</v>
      </c>
      <c r="F51" s="1">
        <v>2</v>
      </c>
      <c r="G51" s="1">
        <v>4</v>
      </c>
      <c r="H51" s="1">
        <v>2</v>
      </c>
      <c r="I51" s="1">
        <v>2</v>
      </c>
      <c r="J51" s="1">
        <v>3</v>
      </c>
      <c r="K51" s="1">
        <v>4</v>
      </c>
      <c r="L51" s="1">
        <v>2</v>
      </c>
      <c r="M51" s="1">
        <v>4</v>
      </c>
      <c r="N51" s="1">
        <v>2</v>
      </c>
      <c r="O51" s="1">
        <v>4</v>
      </c>
      <c r="P51" s="1">
        <v>2</v>
      </c>
      <c r="Q51" s="1">
        <v>3</v>
      </c>
      <c r="R51" s="1">
        <v>2</v>
      </c>
      <c r="S51" s="9">
        <f t="shared" si="0"/>
        <v>2.6666666666666665</v>
      </c>
      <c r="T51" s="9">
        <f t="shared" si="1"/>
        <v>3</v>
      </c>
      <c r="U51" s="9">
        <f t="shared" si="2"/>
        <v>3.3333333333333335</v>
      </c>
      <c r="V51" s="9">
        <f t="shared" si="3"/>
        <v>2.3333333333333335</v>
      </c>
      <c r="W51" s="9">
        <f t="shared" si="4"/>
        <v>11.333333333333334</v>
      </c>
      <c r="X51" s="9">
        <f t="shared" si="5"/>
        <v>2.8333333333333335</v>
      </c>
      <c r="Y51" s="1">
        <f t="shared" si="6"/>
        <v>1</v>
      </c>
      <c r="Z51" s="1">
        <v>2</v>
      </c>
      <c r="AA51" s="2" t="s">
        <v>28</v>
      </c>
      <c r="AB51" s="1" t="s">
        <v>83</v>
      </c>
    </row>
    <row r="52" spans="1:28" x14ac:dyDescent="0.35">
      <c r="A52" s="1" t="s">
        <v>138</v>
      </c>
      <c r="B52" s="1">
        <v>32</v>
      </c>
      <c r="C52" s="1" t="str">
        <f>VLOOKUP(A52,[1]Export!$1:$1048576,6)</f>
        <v>Masculino</v>
      </c>
      <c r="D52" s="1" t="s">
        <v>231</v>
      </c>
      <c r="E52" s="1" t="s">
        <v>241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1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9">
        <f t="shared" si="0"/>
        <v>2</v>
      </c>
      <c r="T52" s="9">
        <f t="shared" si="1"/>
        <v>1.6666666666666667</v>
      </c>
      <c r="U52" s="9">
        <f t="shared" si="2"/>
        <v>2</v>
      </c>
      <c r="V52" s="9">
        <f t="shared" si="3"/>
        <v>2</v>
      </c>
      <c r="W52" s="9">
        <f t="shared" si="4"/>
        <v>7.666666666666667</v>
      </c>
      <c r="X52" s="9">
        <f t="shared" si="5"/>
        <v>1.9166666666666667</v>
      </c>
      <c r="Y52" s="1">
        <f t="shared" si="6"/>
        <v>1</v>
      </c>
      <c r="Z52" s="1">
        <v>2</v>
      </c>
      <c r="AA52" s="2" t="s">
        <v>48</v>
      </c>
      <c r="AB52" s="1" t="s">
        <v>83</v>
      </c>
    </row>
    <row r="53" spans="1:28" x14ac:dyDescent="0.35">
      <c r="A53" s="1" t="s">
        <v>139</v>
      </c>
      <c r="B53" s="1">
        <v>31</v>
      </c>
      <c r="C53" s="1" t="str">
        <f>VLOOKUP(A53,[1]Export!$1:$1048576,6)</f>
        <v>Femenino</v>
      </c>
      <c r="D53" s="1" t="s">
        <v>230</v>
      </c>
      <c r="E53" s="1" t="s">
        <v>236</v>
      </c>
      <c r="F53" s="1">
        <v>2</v>
      </c>
      <c r="G53" s="1">
        <v>3</v>
      </c>
      <c r="H53" s="1">
        <v>4</v>
      </c>
      <c r="I53" s="1">
        <v>4</v>
      </c>
      <c r="J53" s="1">
        <v>2</v>
      </c>
      <c r="K53" s="1">
        <v>2</v>
      </c>
      <c r="L53" s="1">
        <v>3</v>
      </c>
      <c r="M53" s="1">
        <v>4</v>
      </c>
      <c r="N53" s="1">
        <v>2</v>
      </c>
      <c r="O53" s="1">
        <v>4</v>
      </c>
      <c r="P53" s="1">
        <v>2</v>
      </c>
      <c r="Q53" s="1">
        <v>2</v>
      </c>
      <c r="R53" s="1">
        <v>3</v>
      </c>
      <c r="S53" s="9">
        <f t="shared" si="0"/>
        <v>3.6666666666666665</v>
      </c>
      <c r="T53" s="9">
        <f t="shared" si="1"/>
        <v>2.3333333333333335</v>
      </c>
      <c r="U53" s="9">
        <f t="shared" si="2"/>
        <v>3.3333333333333335</v>
      </c>
      <c r="V53" s="9">
        <f t="shared" si="3"/>
        <v>2.3333333333333335</v>
      </c>
      <c r="W53" s="9">
        <f t="shared" si="4"/>
        <v>11.666666666666668</v>
      </c>
      <c r="X53" s="9">
        <f t="shared" si="5"/>
        <v>2.916666666666667</v>
      </c>
      <c r="Y53" s="1">
        <f t="shared" si="6"/>
        <v>1</v>
      </c>
      <c r="Z53" s="1">
        <v>2</v>
      </c>
      <c r="AA53" s="2" t="s">
        <v>21</v>
      </c>
      <c r="AB53" s="1" t="s">
        <v>83</v>
      </c>
    </row>
    <row r="54" spans="1:28" x14ac:dyDescent="0.35">
      <c r="A54" s="1" t="s">
        <v>140</v>
      </c>
      <c r="B54" s="1">
        <v>36</v>
      </c>
      <c r="C54" s="1" t="str">
        <f>VLOOKUP(A54,[1]Export!$1:$1048576,6)</f>
        <v>Femenino</v>
      </c>
      <c r="D54" s="1" t="s">
        <v>231</v>
      </c>
      <c r="E54" s="1" t="s">
        <v>236</v>
      </c>
      <c r="F54" s="1">
        <v>2</v>
      </c>
      <c r="G54" s="1">
        <v>2</v>
      </c>
      <c r="H54" s="1">
        <v>1</v>
      </c>
      <c r="I54" s="1">
        <v>2</v>
      </c>
      <c r="J54" s="1">
        <v>2</v>
      </c>
      <c r="K54" s="1">
        <v>2</v>
      </c>
      <c r="L54" s="1">
        <v>2</v>
      </c>
      <c r="M54" s="1">
        <v>1</v>
      </c>
      <c r="N54" s="1">
        <v>1</v>
      </c>
      <c r="O54" s="1">
        <v>2</v>
      </c>
      <c r="P54" s="1">
        <v>2</v>
      </c>
      <c r="Q54" s="1">
        <v>1</v>
      </c>
      <c r="R54" s="1">
        <v>2</v>
      </c>
      <c r="S54" s="9">
        <f t="shared" si="0"/>
        <v>1.6666666666666667</v>
      </c>
      <c r="T54" s="9">
        <f t="shared" si="1"/>
        <v>2</v>
      </c>
      <c r="U54" s="9">
        <f t="shared" si="2"/>
        <v>1.3333333333333333</v>
      </c>
      <c r="V54" s="9">
        <f t="shared" si="3"/>
        <v>1.6666666666666667</v>
      </c>
      <c r="W54" s="9">
        <f t="shared" si="4"/>
        <v>6.666666666666667</v>
      </c>
      <c r="X54" s="9">
        <f t="shared" si="5"/>
        <v>1.6666666666666667</v>
      </c>
      <c r="Y54" s="1">
        <f t="shared" si="6"/>
        <v>1</v>
      </c>
      <c r="Z54" s="1">
        <v>1</v>
      </c>
      <c r="AA54" s="2" t="s">
        <v>49</v>
      </c>
      <c r="AB54" s="1" t="s">
        <v>82</v>
      </c>
    </row>
    <row r="55" spans="1:28" x14ac:dyDescent="0.35">
      <c r="A55" s="1" t="s">
        <v>141</v>
      </c>
      <c r="B55" s="1">
        <v>30</v>
      </c>
      <c r="C55" s="1" t="str">
        <f>VLOOKUP(A55,[1]Export!$1:$1048576,6)</f>
        <v>Femenino</v>
      </c>
      <c r="D55" s="1" t="s">
        <v>232</v>
      </c>
      <c r="E55" s="1" t="s">
        <v>236</v>
      </c>
      <c r="F55" s="1">
        <v>2</v>
      </c>
      <c r="G55" s="1">
        <v>2</v>
      </c>
      <c r="H55" s="1">
        <v>1</v>
      </c>
      <c r="I55" s="1">
        <v>2</v>
      </c>
      <c r="J55" s="1">
        <v>1</v>
      </c>
      <c r="K55" s="1">
        <v>1</v>
      </c>
      <c r="L55" s="1">
        <v>2</v>
      </c>
      <c r="M55" s="1">
        <v>1</v>
      </c>
      <c r="N55" s="1">
        <v>2</v>
      </c>
      <c r="O55" s="1">
        <v>1</v>
      </c>
      <c r="P55" s="1">
        <v>2</v>
      </c>
      <c r="Q55" s="1">
        <v>1</v>
      </c>
      <c r="R55" s="1">
        <v>1</v>
      </c>
      <c r="S55" s="9">
        <f t="shared" si="0"/>
        <v>1.6666666666666667</v>
      </c>
      <c r="T55" s="9">
        <f t="shared" si="1"/>
        <v>1.3333333333333333</v>
      </c>
      <c r="U55" s="9">
        <f t="shared" si="2"/>
        <v>1.3333333333333333</v>
      </c>
      <c r="V55" s="9">
        <f t="shared" si="3"/>
        <v>1.3333333333333333</v>
      </c>
      <c r="W55" s="9">
        <f t="shared" si="4"/>
        <v>5.6666666666666661</v>
      </c>
      <c r="X55" s="9">
        <f t="shared" si="5"/>
        <v>1.4166666666666665</v>
      </c>
      <c r="Y55" s="1">
        <f t="shared" si="6"/>
        <v>1</v>
      </c>
      <c r="Z55" s="1">
        <v>2</v>
      </c>
      <c r="AA55" s="2" t="s">
        <v>40</v>
      </c>
      <c r="AB55" s="1" t="s">
        <v>83</v>
      </c>
    </row>
    <row r="56" spans="1:28" x14ac:dyDescent="0.35">
      <c r="A56" s="1" t="s">
        <v>142</v>
      </c>
      <c r="B56" s="1">
        <v>30</v>
      </c>
      <c r="C56" s="1" t="str">
        <f>VLOOKUP(A56,[1]Export!$1:$1048576,6)</f>
        <v>Femenino</v>
      </c>
      <c r="D56" s="1" t="s">
        <v>233</v>
      </c>
      <c r="E56" s="1" t="s">
        <v>239</v>
      </c>
      <c r="F56" s="1">
        <v>2</v>
      </c>
      <c r="G56" s="1">
        <v>4</v>
      </c>
      <c r="H56" s="1">
        <v>2</v>
      </c>
      <c r="I56" s="1">
        <v>4</v>
      </c>
      <c r="J56" s="1">
        <v>3</v>
      </c>
      <c r="K56" s="1">
        <v>2</v>
      </c>
      <c r="L56" s="1">
        <v>4</v>
      </c>
      <c r="M56" s="1">
        <v>3</v>
      </c>
      <c r="N56" s="1">
        <v>2</v>
      </c>
      <c r="O56" s="1">
        <v>4</v>
      </c>
      <c r="P56" s="1">
        <v>4</v>
      </c>
      <c r="Q56" s="1">
        <v>3</v>
      </c>
      <c r="R56" s="1">
        <v>4</v>
      </c>
      <c r="S56" s="9">
        <f t="shared" si="0"/>
        <v>3.3333333333333335</v>
      </c>
      <c r="T56" s="9">
        <f t="shared" si="1"/>
        <v>3</v>
      </c>
      <c r="U56" s="9">
        <f t="shared" si="2"/>
        <v>3</v>
      </c>
      <c r="V56" s="9">
        <f t="shared" si="3"/>
        <v>3.6666666666666665</v>
      </c>
      <c r="W56" s="9">
        <f t="shared" si="4"/>
        <v>13</v>
      </c>
      <c r="X56" s="9">
        <f t="shared" si="5"/>
        <v>3.25</v>
      </c>
      <c r="Y56" s="1">
        <f t="shared" si="6"/>
        <v>2</v>
      </c>
      <c r="Z56" s="1">
        <v>2</v>
      </c>
      <c r="AA56" s="2" t="s">
        <v>25</v>
      </c>
      <c r="AB56" s="10" t="s">
        <v>84</v>
      </c>
    </row>
    <row r="57" spans="1:28" x14ac:dyDescent="0.35">
      <c r="A57" s="1" t="s">
        <v>143</v>
      </c>
      <c r="B57" s="1">
        <v>28</v>
      </c>
      <c r="C57" s="1" t="str">
        <f>VLOOKUP(A57,[1]Export!$1:$1048576,6)</f>
        <v>Femenino</v>
      </c>
      <c r="D57" s="1" t="s">
        <v>233</v>
      </c>
      <c r="E57" s="1" t="s">
        <v>240</v>
      </c>
      <c r="F57" s="1">
        <v>2</v>
      </c>
      <c r="G57" s="1">
        <v>3</v>
      </c>
      <c r="H57" s="1">
        <v>2</v>
      </c>
      <c r="I57" s="1">
        <v>2</v>
      </c>
      <c r="J57" s="1">
        <v>2</v>
      </c>
      <c r="K57" s="1">
        <v>3</v>
      </c>
      <c r="L57" s="1">
        <v>2</v>
      </c>
      <c r="M57" s="1">
        <v>4</v>
      </c>
      <c r="N57" s="1">
        <v>3</v>
      </c>
      <c r="O57" s="1">
        <v>3</v>
      </c>
      <c r="P57" s="1">
        <v>4</v>
      </c>
      <c r="Q57" s="1">
        <v>2</v>
      </c>
      <c r="R57" s="1">
        <v>2</v>
      </c>
      <c r="S57" s="9">
        <f t="shared" si="0"/>
        <v>2.3333333333333335</v>
      </c>
      <c r="T57" s="9">
        <f t="shared" si="1"/>
        <v>2.3333333333333335</v>
      </c>
      <c r="U57" s="9">
        <f t="shared" si="2"/>
        <v>3.3333333333333335</v>
      </c>
      <c r="V57" s="9">
        <f t="shared" si="3"/>
        <v>2.6666666666666665</v>
      </c>
      <c r="W57" s="9">
        <f t="shared" si="4"/>
        <v>10.666666666666666</v>
      </c>
      <c r="X57" s="9">
        <f t="shared" si="5"/>
        <v>2.6666666666666665</v>
      </c>
      <c r="Y57" s="1">
        <f t="shared" si="6"/>
        <v>1</v>
      </c>
      <c r="Z57" s="1">
        <v>2</v>
      </c>
      <c r="AA57" s="2" t="s">
        <v>25</v>
      </c>
      <c r="AB57" s="1" t="s">
        <v>83</v>
      </c>
    </row>
    <row r="58" spans="1:28" x14ac:dyDescent="0.35">
      <c r="A58" s="1" t="s">
        <v>144</v>
      </c>
      <c r="B58" s="1">
        <v>27</v>
      </c>
      <c r="C58" s="1" t="str">
        <f>VLOOKUP(A58,[1]Export!$1:$1048576,6)</f>
        <v>Femenino</v>
      </c>
      <c r="D58" s="1" t="s">
        <v>231</v>
      </c>
      <c r="E58" s="1" t="s">
        <v>242</v>
      </c>
      <c r="F58" s="1">
        <v>2</v>
      </c>
      <c r="G58" s="1">
        <v>2</v>
      </c>
      <c r="H58" s="1">
        <v>1</v>
      </c>
      <c r="I58" s="1">
        <v>2</v>
      </c>
      <c r="J58" s="1">
        <v>2</v>
      </c>
      <c r="K58" s="1">
        <v>1</v>
      </c>
      <c r="L58" s="1">
        <v>2</v>
      </c>
      <c r="M58" s="1">
        <v>1</v>
      </c>
      <c r="N58" s="1">
        <v>2</v>
      </c>
      <c r="O58" s="1">
        <v>1</v>
      </c>
      <c r="P58" s="1">
        <v>1</v>
      </c>
      <c r="Q58" s="1">
        <v>1</v>
      </c>
      <c r="R58" s="1">
        <v>2</v>
      </c>
      <c r="S58" s="9">
        <f t="shared" si="0"/>
        <v>1.6666666666666667</v>
      </c>
      <c r="T58" s="9">
        <f t="shared" si="1"/>
        <v>1.6666666666666667</v>
      </c>
      <c r="U58" s="9">
        <f t="shared" si="2"/>
        <v>1.3333333333333333</v>
      </c>
      <c r="V58" s="9">
        <f t="shared" si="3"/>
        <v>1.3333333333333333</v>
      </c>
      <c r="W58" s="9">
        <f t="shared" si="4"/>
        <v>6</v>
      </c>
      <c r="X58" s="9">
        <f t="shared" si="5"/>
        <v>1.5</v>
      </c>
      <c r="Y58" s="1">
        <f t="shared" si="6"/>
        <v>1</v>
      </c>
      <c r="Z58" s="1">
        <v>2</v>
      </c>
      <c r="AA58" s="2" t="s">
        <v>50</v>
      </c>
      <c r="AB58" s="1" t="s">
        <v>83</v>
      </c>
    </row>
    <row r="59" spans="1:28" x14ac:dyDescent="0.35">
      <c r="A59" s="1" t="s">
        <v>145</v>
      </c>
      <c r="B59" s="1">
        <v>28</v>
      </c>
      <c r="C59" s="1" t="str">
        <f>VLOOKUP(A59,[1]Export!$1:$1048576,6)</f>
        <v>Femenino</v>
      </c>
      <c r="D59" s="1" t="s">
        <v>243</v>
      </c>
      <c r="E59" s="1" t="s">
        <v>236</v>
      </c>
      <c r="F59" s="1">
        <v>2</v>
      </c>
      <c r="G59" s="1">
        <v>2</v>
      </c>
      <c r="H59" s="1">
        <v>4</v>
      </c>
      <c r="I59" s="1">
        <v>3</v>
      </c>
      <c r="J59" s="1">
        <v>3</v>
      </c>
      <c r="K59" s="1">
        <v>4</v>
      </c>
      <c r="L59" s="1">
        <v>3</v>
      </c>
      <c r="M59" s="1">
        <v>4</v>
      </c>
      <c r="N59" s="1">
        <v>3</v>
      </c>
      <c r="O59" s="1">
        <v>2</v>
      </c>
      <c r="P59" s="1">
        <v>2</v>
      </c>
      <c r="Q59" s="1">
        <v>2</v>
      </c>
      <c r="R59" s="1">
        <v>3</v>
      </c>
      <c r="S59" s="9">
        <f t="shared" si="0"/>
        <v>3</v>
      </c>
      <c r="T59" s="9">
        <f t="shared" si="1"/>
        <v>3.3333333333333335</v>
      </c>
      <c r="U59" s="9">
        <f t="shared" si="2"/>
        <v>3</v>
      </c>
      <c r="V59" s="9">
        <f t="shared" si="3"/>
        <v>2.3333333333333335</v>
      </c>
      <c r="W59" s="9">
        <f t="shared" si="4"/>
        <v>11.666666666666668</v>
      </c>
      <c r="X59" s="9">
        <f t="shared" si="5"/>
        <v>2.916666666666667</v>
      </c>
      <c r="Y59" s="1">
        <f t="shared" si="6"/>
        <v>1</v>
      </c>
      <c r="Z59" s="1">
        <v>2</v>
      </c>
      <c r="AA59" s="2" t="s">
        <v>51</v>
      </c>
      <c r="AB59" s="1" t="s">
        <v>83</v>
      </c>
    </row>
    <row r="60" spans="1:28" x14ac:dyDescent="0.35">
      <c r="A60" s="1" t="s">
        <v>146</v>
      </c>
      <c r="B60" s="1">
        <v>30</v>
      </c>
      <c r="C60" s="1" t="str">
        <f>VLOOKUP(A60,[1]Export!$1:$1048576,6)</f>
        <v>Masculino</v>
      </c>
      <c r="D60" s="1" t="s">
        <v>231</v>
      </c>
      <c r="E60" s="1" t="s">
        <v>240</v>
      </c>
      <c r="F60" s="1">
        <v>2</v>
      </c>
      <c r="G60" s="1">
        <v>4</v>
      </c>
      <c r="H60" s="1">
        <v>2</v>
      </c>
      <c r="I60" s="1">
        <v>2</v>
      </c>
      <c r="J60" s="1">
        <v>3</v>
      </c>
      <c r="K60" s="1">
        <v>4</v>
      </c>
      <c r="L60" s="1">
        <v>2</v>
      </c>
      <c r="M60" s="1">
        <v>4</v>
      </c>
      <c r="N60" s="1">
        <v>4</v>
      </c>
      <c r="O60" s="1">
        <v>3</v>
      </c>
      <c r="P60" s="1">
        <v>2</v>
      </c>
      <c r="Q60" s="1">
        <v>3</v>
      </c>
      <c r="R60" s="1">
        <v>4</v>
      </c>
      <c r="S60" s="9">
        <f t="shared" si="0"/>
        <v>2.6666666666666665</v>
      </c>
      <c r="T60" s="9">
        <f t="shared" si="1"/>
        <v>3</v>
      </c>
      <c r="U60" s="9">
        <f t="shared" si="2"/>
        <v>3.6666666666666665</v>
      </c>
      <c r="V60" s="9">
        <f t="shared" si="3"/>
        <v>3</v>
      </c>
      <c r="W60" s="9">
        <f t="shared" si="4"/>
        <v>12.333333333333332</v>
      </c>
      <c r="X60" s="9">
        <f t="shared" si="5"/>
        <v>3.083333333333333</v>
      </c>
      <c r="Y60" s="1">
        <f t="shared" si="6"/>
        <v>2</v>
      </c>
      <c r="Z60" s="1">
        <v>2</v>
      </c>
      <c r="AA60" s="2" t="s">
        <v>20</v>
      </c>
      <c r="AB60" s="10" t="s">
        <v>84</v>
      </c>
    </row>
    <row r="61" spans="1:28" x14ac:dyDescent="0.35">
      <c r="A61" s="1" t="s">
        <v>147</v>
      </c>
      <c r="B61" s="1">
        <v>29</v>
      </c>
      <c r="C61" s="1" t="str">
        <f>VLOOKUP(A61,[1]Export!$1:$1048576,6)</f>
        <v>Femenino</v>
      </c>
      <c r="D61" s="1" t="s">
        <v>231</v>
      </c>
      <c r="E61" s="1" t="s">
        <v>237</v>
      </c>
      <c r="F61" s="1">
        <v>2</v>
      </c>
      <c r="G61" s="1">
        <v>2</v>
      </c>
      <c r="H61" s="1">
        <v>2</v>
      </c>
      <c r="I61" s="1">
        <v>4</v>
      </c>
      <c r="J61" s="1">
        <v>2</v>
      </c>
      <c r="K61" s="1">
        <v>2</v>
      </c>
      <c r="L61" s="1">
        <v>3</v>
      </c>
      <c r="M61" s="1">
        <v>4</v>
      </c>
      <c r="N61" s="1">
        <v>3</v>
      </c>
      <c r="O61" s="1">
        <v>3</v>
      </c>
      <c r="P61" s="1">
        <v>4</v>
      </c>
      <c r="Q61" s="1">
        <v>3</v>
      </c>
      <c r="R61" s="1">
        <v>4</v>
      </c>
      <c r="S61" s="9">
        <f t="shared" si="0"/>
        <v>2.6666666666666665</v>
      </c>
      <c r="T61" s="9">
        <f t="shared" si="1"/>
        <v>2.3333333333333335</v>
      </c>
      <c r="U61" s="9">
        <f t="shared" si="2"/>
        <v>3.3333333333333335</v>
      </c>
      <c r="V61" s="9">
        <f t="shared" si="3"/>
        <v>3.6666666666666665</v>
      </c>
      <c r="W61" s="9">
        <f t="shared" si="4"/>
        <v>12</v>
      </c>
      <c r="X61" s="9">
        <f t="shared" si="5"/>
        <v>3</v>
      </c>
      <c r="Y61" s="1">
        <f t="shared" si="6"/>
        <v>2</v>
      </c>
      <c r="Z61" s="1">
        <v>2</v>
      </c>
      <c r="AA61" s="2" t="s">
        <v>52</v>
      </c>
      <c r="AB61" s="10" t="s">
        <v>84</v>
      </c>
    </row>
    <row r="62" spans="1:28" x14ac:dyDescent="0.35">
      <c r="A62" s="1" t="s">
        <v>148</v>
      </c>
      <c r="B62" s="1">
        <v>45</v>
      </c>
      <c r="C62" s="1" t="str">
        <f>VLOOKUP(A62,[1]Export!$1:$1048576,6)</f>
        <v>Femenino</v>
      </c>
      <c r="D62" s="1" t="s">
        <v>231</v>
      </c>
      <c r="E62" s="1" t="s">
        <v>239</v>
      </c>
      <c r="F62" s="1">
        <v>1</v>
      </c>
      <c r="G62" s="1">
        <v>2</v>
      </c>
      <c r="H62" s="1">
        <v>3</v>
      </c>
      <c r="I62" s="1">
        <v>3</v>
      </c>
      <c r="J62" s="1">
        <v>4</v>
      </c>
      <c r="K62" s="1">
        <v>4</v>
      </c>
      <c r="L62" s="1">
        <v>4</v>
      </c>
      <c r="M62" s="1">
        <v>4</v>
      </c>
      <c r="N62" s="1">
        <v>4</v>
      </c>
      <c r="O62" s="1">
        <v>4</v>
      </c>
      <c r="P62" s="1">
        <v>2</v>
      </c>
      <c r="Q62" s="1">
        <v>3</v>
      </c>
      <c r="R62" s="1">
        <v>2</v>
      </c>
      <c r="S62" s="9">
        <f t="shared" si="0"/>
        <v>2.6666666666666665</v>
      </c>
      <c r="T62" s="9">
        <f t="shared" si="1"/>
        <v>4</v>
      </c>
      <c r="U62" s="9">
        <f t="shared" si="2"/>
        <v>4</v>
      </c>
      <c r="V62" s="9">
        <f t="shared" si="3"/>
        <v>2.3333333333333335</v>
      </c>
      <c r="W62" s="9">
        <f t="shared" si="4"/>
        <v>13</v>
      </c>
      <c r="X62" s="9">
        <f t="shared" si="5"/>
        <v>3.25</v>
      </c>
      <c r="Y62" s="1">
        <f t="shared" si="6"/>
        <v>2</v>
      </c>
      <c r="Z62" s="1">
        <v>2</v>
      </c>
      <c r="AA62" s="2" t="s">
        <v>53</v>
      </c>
      <c r="AB62" s="10" t="s">
        <v>84</v>
      </c>
    </row>
    <row r="63" spans="1:28" x14ac:dyDescent="0.35">
      <c r="A63" s="1" t="s">
        <v>149</v>
      </c>
      <c r="B63" s="1">
        <v>50</v>
      </c>
      <c r="C63" s="1" t="str">
        <f>VLOOKUP(A63,[1]Export!$1:$1048576,6)</f>
        <v>Femenino</v>
      </c>
      <c r="D63" s="1" t="s">
        <v>230</v>
      </c>
      <c r="E63" s="1" t="s">
        <v>236</v>
      </c>
      <c r="F63" s="1">
        <v>1</v>
      </c>
      <c r="G63" s="1">
        <v>2</v>
      </c>
      <c r="H63" s="1">
        <v>1</v>
      </c>
      <c r="I63" s="1">
        <v>1</v>
      </c>
      <c r="J63" s="1">
        <v>1</v>
      </c>
      <c r="K63" s="1">
        <v>2</v>
      </c>
      <c r="L63" s="1">
        <v>2</v>
      </c>
      <c r="M63" s="1">
        <v>2</v>
      </c>
      <c r="N63" s="1">
        <v>2</v>
      </c>
      <c r="O63" s="1">
        <v>1</v>
      </c>
      <c r="P63" s="1">
        <v>2</v>
      </c>
      <c r="Q63" s="1">
        <v>2</v>
      </c>
      <c r="R63" s="1">
        <v>1</v>
      </c>
      <c r="S63" s="9">
        <f t="shared" si="0"/>
        <v>1.3333333333333333</v>
      </c>
      <c r="T63" s="9">
        <f t="shared" si="1"/>
        <v>1.6666666666666667</v>
      </c>
      <c r="U63" s="9">
        <f t="shared" si="2"/>
        <v>1.6666666666666667</v>
      </c>
      <c r="V63" s="9">
        <f t="shared" si="3"/>
        <v>1.6666666666666667</v>
      </c>
      <c r="W63" s="9">
        <f t="shared" si="4"/>
        <v>6.3333333333333339</v>
      </c>
      <c r="X63" s="9">
        <f t="shared" si="5"/>
        <v>1.5833333333333335</v>
      </c>
      <c r="Y63" s="1">
        <f t="shared" si="6"/>
        <v>1</v>
      </c>
      <c r="Z63" s="1">
        <v>2</v>
      </c>
      <c r="AA63" s="2" t="s">
        <v>44</v>
      </c>
      <c r="AB63" s="1" t="s">
        <v>83</v>
      </c>
    </row>
    <row r="64" spans="1:28" x14ac:dyDescent="0.35">
      <c r="A64" s="1" t="s">
        <v>150</v>
      </c>
      <c r="B64" s="1">
        <v>41</v>
      </c>
      <c r="C64" s="1" t="str">
        <f>VLOOKUP(A64,[1]Export!$1:$1048576,6)</f>
        <v>Masculino</v>
      </c>
      <c r="D64" s="1" t="s">
        <v>230</v>
      </c>
      <c r="E64" s="1" t="s">
        <v>236</v>
      </c>
      <c r="F64" s="1">
        <v>1</v>
      </c>
      <c r="G64" s="1">
        <v>5</v>
      </c>
      <c r="H64" s="1">
        <v>5</v>
      </c>
      <c r="I64" s="1">
        <v>4</v>
      </c>
      <c r="J64" s="1">
        <v>4</v>
      </c>
      <c r="K64" s="1">
        <v>5</v>
      </c>
      <c r="L64" s="1">
        <v>4</v>
      </c>
      <c r="M64" s="1">
        <v>4</v>
      </c>
      <c r="N64" s="1">
        <v>5</v>
      </c>
      <c r="O64" s="1">
        <v>4</v>
      </c>
      <c r="P64" s="1">
        <v>4</v>
      </c>
      <c r="Q64" s="1">
        <v>5</v>
      </c>
      <c r="R64" s="1">
        <v>4</v>
      </c>
      <c r="S64" s="9">
        <f t="shared" si="0"/>
        <v>4.666666666666667</v>
      </c>
      <c r="T64" s="9">
        <f t="shared" si="1"/>
        <v>4.333333333333333</v>
      </c>
      <c r="U64" s="9">
        <f t="shared" si="2"/>
        <v>4.333333333333333</v>
      </c>
      <c r="V64" s="9">
        <f t="shared" si="3"/>
        <v>4.333333333333333</v>
      </c>
      <c r="W64" s="9">
        <f t="shared" si="4"/>
        <v>17.666666666666664</v>
      </c>
      <c r="X64" s="9">
        <f t="shared" si="5"/>
        <v>4.4166666666666661</v>
      </c>
      <c r="Y64" s="1">
        <f t="shared" si="6"/>
        <v>3</v>
      </c>
      <c r="Z64" s="1">
        <v>2</v>
      </c>
      <c r="AA64" s="2" t="s">
        <v>17</v>
      </c>
      <c r="AB64" s="1" t="s">
        <v>86</v>
      </c>
    </row>
    <row r="65" spans="1:28" x14ac:dyDescent="0.35">
      <c r="A65" s="1" t="s">
        <v>151</v>
      </c>
      <c r="B65" s="1">
        <v>36</v>
      </c>
      <c r="C65" s="1" t="str">
        <f>VLOOKUP(A65,[1]Export!$1:$1048576,6)</f>
        <v>Femenino</v>
      </c>
      <c r="D65" s="1" t="s">
        <v>230</v>
      </c>
      <c r="E65" s="1" t="s">
        <v>236</v>
      </c>
      <c r="F65" s="1">
        <v>1</v>
      </c>
      <c r="G65" s="1">
        <v>1</v>
      </c>
      <c r="H65" s="1">
        <v>1</v>
      </c>
      <c r="I65" s="1">
        <v>2</v>
      </c>
      <c r="J65" s="1">
        <v>2</v>
      </c>
      <c r="K65" s="1">
        <v>1</v>
      </c>
      <c r="L65" s="1">
        <v>1</v>
      </c>
      <c r="M65" s="1">
        <v>2</v>
      </c>
      <c r="N65" s="1">
        <v>2</v>
      </c>
      <c r="O65" s="1">
        <v>2</v>
      </c>
      <c r="P65" s="1">
        <v>1</v>
      </c>
      <c r="Q65" s="1">
        <v>1</v>
      </c>
      <c r="R65" s="1">
        <v>1</v>
      </c>
      <c r="S65" s="9">
        <f t="shared" si="0"/>
        <v>1.3333333333333333</v>
      </c>
      <c r="T65" s="9">
        <f t="shared" si="1"/>
        <v>1.3333333333333333</v>
      </c>
      <c r="U65" s="9">
        <f t="shared" si="2"/>
        <v>2</v>
      </c>
      <c r="V65" s="9">
        <f t="shared" si="3"/>
        <v>1</v>
      </c>
      <c r="W65" s="9">
        <f t="shared" si="4"/>
        <v>5.6666666666666661</v>
      </c>
      <c r="X65" s="9">
        <f t="shared" si="5"/>
        <v>1.4166666666666665</v>
      </c>
      <c r="Y65" s="1">
        <f t="shared" si="6"/>
        <v>1</v>
      </c>
      <c r="Z65" s="1">
        <v>2</v>
      </c>
      <c r="AA65" s="2" t="s">
        <v>18</v>
      </c>
      <c r="AB65" s="1" t="s">
        <v>83</v>
      </c>
    </row>
    <row r="66" spans="1:28" x14ac:dyDescent="0.35">
      <c r="A66" s="1" t="s">
        <v>152</v>
      </c>
      <c r="B66" s="1">
        <v>35</v>
      </c>
      <c r="C66" s="1" t="str">
        <f>VLOOKUP(A66,[1]Export!$1:$1048576,6)</f>
        <v>Femenino</v>
      </c>
      <c r="D66" s="1" t="s">
        <v>234</v>
      </c>
      <c r="E66" s="1" t="s">
        <v>236</v>
      </c>
      <c r="F66" s="1">
        <v>1</v>
      </c>
      <c r="G66" s="1">
        <v>2</v>
      </c>
      <c r="H66" s="1">
        <v>1</v>
      </c>
      <c r="I66" s="1">
        <v>1</v>
      </c>
      <c r="J66" s="1">
        <v>2</v>
      </c>
      <c r="K66" s="1">
        <v>1</v>
      </c>
      <c r="L66" s="1">
        <v>2</v>
      </c>
      <c r="M66" s="1">
        <v>1</v>
      </c>
      <c r="N66" s="1">
        <v>1</v>
      </c>
      <c r="O66" s="1">
        <v>2</v>
      </c>
      <c r="P66" s="1">
        <v>2</v>
      </c>
      <c r="Q66" s="1">
        <v>2</v>
      </c>
      <c r="R66" s="1">
        <v>2</v>
      </c>
      <c r="S66" s="9">
        <f t="shared" si="0"/>
        <v>1.3333333333333333</v>
      </c>
      <c r="T66" s="9">
        <f t="shared" si="1"/>
        <v>1.6666666666666667</v>
      </c>
      <c r="U66" s="9">
        <f t="shared" si="2"/>
        <v>1.3333333333333333</v>
      </c>
      <c r="V66" s="9">
        <f t="shared" si="3"/>
        <v>2</v>
      </c>
      <c r="W66" s="9">
        <f t="shared" si="4"/>
        <v>6.333333333333333</v>
      </c>
      <c r="X66" s="9">
        <f t="shared" si="5"/>
        <v>1.5833333333333333</v>
      </c>
      <c r="Y66" s="1">
        <f t="shared" si="6"/>
        <v>1</v>
      </c>
      <c r="Z66" s="1">
        <v>2</v>
      </c>
      <c r="AA66" s="2" t="s">
        <v>31</v>
      </c>
      <c r="AB66" s="1" t="s">
        <v>83</v>
      </c>
    </row>
    <row r="67" spans="1:28" x14ac:dyDescent="0.35">
      <c r="A67" s="1" t="s">
        <v>153</v>
      </c>
      <c r="B67" s="1">
        <v>33</v>
      </c>
      <c r="C67" s="1" t="str">
        <f>VLOOKUP(A67,[1]Export!$1:$1048576,6)</f>
        <v>Femenino</v>
      </c>
      <c r="D67" s="1" t="s">
        <v>234</v>
      </c>
      <c r="E67" s="1" t="s">
        <v>236</v>
      </c>
      <c r="F67" s="1">
        <v>1</v>
      </c>
      <c r="G67" s="1">
        <v>4</v>
      </c>
      <c r="H67" s="1">
        <v>4</v>
      </c>
      <c r="I67" s="1">
        <v>2</v>
      </c>
      <c r="J67" s="1">
        <v>2</v>
      </c>
      <c r="K67" s="1">
        <v>2</v>
      </c>
      <c r="L67" s="1">
        <v>2</v>
      </c>
      <c r="M67" s="1">
        <v>4</v>
      </c>
      <c r="N67" s="1">
        <v>4</v>
      </c>
      <c r="O67" s="1">
        <v>3</v>
      </c>
      <c r="P67" s="1">
        <v>4</v>
      </c>
      <c r="Q67" s="1">
        <v>2</v>
      </c>
      <c r="R67" s="1">
        <v>4</v>
      </c>
      <c r="S67" s="9">
        <f t="shared" si="0"/>
        <v>3.3333333333333335</v>
      </c>
      <c r="T67" s="9">
        <f t="shared" si="1"/>
        <v>2</v>
      </c>
      <c r="U67" s="9">
        <f t="shared" si="2"/>
        <v>3.6666666666666665</v>
      </c>
      <c r="V67" s="9">
        <f t="shared" si="3"/>
        <v>3.3333333333333335</v>
      </c>
      <c r="W67" s="9">
        <f t="shared" si="4"/>
        <v>12.333333333333334</v>
      </c>
      <c r="X67" s="9">
        <f t="shared" si="5"/>
        <v>3.0833333333333335</v>
      </c>
      <c r="Y67" s="1">
        <f t="shared" si="6"/>
        <v>2</v>
      </c>
      <c r="Z67" s="1">
        <v>2</v>
      </c>
      <c r="AA67" s="2" t="s">
        <v>30</v>
      </c>
      <c r="AB67" s="10" t="s">
        <v>84</v>
      </c>
    </row>
    <row r="68" spans="1:28" x14ac:dyDescent="0.35">
      <c r="A68" s="1" t="s">
        <v>154</v>
      </c>
      <c r="B68" s="1">
        <v>36</v>
      </c>
      <c r="C68" s="1" t="str">
        <f>VLOOKUP(A68,[1]Export!$1:$1048576,6)</f>
        <v>Femenino</v>
      </c>
      <c r="D68" s="1" t="s">
        <v>233</v>
      </c>
      <c r="E68" s="1" t="s">
        <v>240</v>
      </c>
      <c r="F68" s="1">
        <v>1</v>
      </c>
      <c r="G68" s="1">
        <v>4</v>
      </c>
      <c r="H68" s="1">
        <v>4</v>
      </c>
      <c r="I68" s="1">
        <v>2</v>
      </c>
      <c r="J68" s="1">
        <v>4</v>
      </c>
      <c r="K68" s="1">
        <v>4</v>
      </c>
      <c r="L68" s="1">
        <v>3</v>
      </c>
      <c r="M68" s="1">
        <v>4</v>
      </c>
      <c r="N68" s="1">
        <v>2</v>
      </c>
      <c r="O68" s="1">
        <v>3</v>
      </c>
      <c r="P68" s="1">
        <v>2</v>
      </c>
      <c r="Q68" s="1">
        <v>2</v>
      </c>
      <c r="R68" s="1">
        <v>2</v>
      </c>
      <c r="S68" s="9">
        <f t="shared" ref="S68:S131" si="7">AVERAGE(G68:I68)</f>
        <v>3.3333333333333335</v>
      </c>
      <c r="T68" s="9">
        <f t="shared" ref="T68:T131" si="8">AVERAGE(J68:L68)</f>
        <v>3.6666666666666665</v>
      </c>
      <c r="U68" s="9">
        <f t="shared" ref="U68:U131" si="9">AVERAGE(M68:O68)</f>
        <v>3</v>
      </c>
      <c r="V68" s="9">
        <f t="shared" ref="V68:V131" si="10">AVERAGE(P68:R68)</f>
        <v>2</v>
      </c>
      <c r="W68" s="9">
        <f t="shared" ref="W68:W131" si="11">SUM(S68:V68)</f>
        <v>12</v>
      </c>
      <c r="X68" s="9">
        <f t="shared" ref="X68:X131" si="12">W68/4</f>
        <v>3</v>
      </c>
      <c r="Y68" s="1">
        <f t="shared" ref="Y68:Y131" si="13">IF(X68&lt;3,1,IF(X68&lt;4,2,3))</f>
        <v>2</v>
      </c>
      <c r="Z68" s="1">
        <v>2</v>
      </c>
      <c r="AA68" s="2" t="s">
        <v>18</v>
      </c>
      <c r="AB68" s="10" t="s">
        <v>84</v>
      </c>
    </row>
    <row r="69" spans="1:28" x14ac:dyDescent="0.35">
      <c r="A69" s="1" t="s">
        <v>155</v>
      </c>
      <c r="B69" s="1">
        <v>40</v>
      </c>
      <c r="C69" s="1" t="str">
        <f>VLOOKUP(A69,[1]Export!$1:$1048576,6)</f>
        <v>Masculino</v>
      </c>
      <c r="D69" s="1" t="s">
        <v>233</v>
      </c>
      <c r="E69" s="1" t="s">
        <v>236</v>
      </c>
      <c r="F69" s="1">
        <v>1</v>
      </c>
      <c r="G69" s="1">
        <v>2</v>
      </c>
      <c r="H69" s="1">
        <v>2</v>
      </c>
      <c r="I69" s="1">
        <v>2</v>
      </c>
      <c r="J69" s="1">
        <v>1</v>
      </c>
      <c r="K69" s="1">
        <v>2</v>
      </c>
      <c r="L69" s="1">
        <v>2</v>
      </c>
      <c r="M69" s="1">
        <v>1</v>
      </c>
      <c r="N69" s="1">
        <v>1</v>
      </c>
      <c r="O69" s="1">
        <v>1</v>
      </c>
      <c r="P69" s="1">
        <v>2</v>
      </c>
      <c r="Q69" s="1">
        <v>1</v>
      </c>
      <c r="R69" s="1">
        <v>1</v>
      </c>
      <c r="S69" s="9">
        <f t="shared" si="7"/>
        <v>2</v>
      </c>
      <c r="T69" s="9">
        <f t="shared" si="8"/>
        <v>1.6666666666666667</v>
      </c>
      <c r="U69" s="9">
        <f t="shared" si="9"/>
        <v>1</v>
      </c>
      <c r="V69" s="9">
        <f t="shared" si="10"/>
        <v>1.3333333333333333</v>
      </c>
      <c r="W69" s="9">
        <f t="shared" si="11"/>
        <v>6</v>
      </c>
      <c r="X69" s="9">
        <f t="shared" si="12"/>
        <v>1.5</v>
      </c>
      <c r="Y69" s="1">
        <f t="shared" si="13"/>
        <v>1</v>
      </c>
      <c r="Z69" s="1">
        <v>2</v>
      </c>
      <c r="AA69" s="2" t="s">
        <v>29</v>
      </c>
      <c r="AB69" s="1" t="s">
        <v>83</v>
      </c>
    </row>
    <row r="70" spans="1:28" x14ac:dyDescent="0.35">
      <c r="A70" s="1" t="s">
        <v>156</v>
      </c>
      <c r="B70" s="1">
        <v>38</v>
      </c>
      <c r="C70" s="1" t="str">
        <f>VLOOKUP(A70,[1]Export!$1:$1048576,6)</f>
        <v>Femenino</v>
      </c>
      <c r="D70" s="1" t="s">
        <v>230</v>
      </c>
      <c r="E70" s="1" t="s">
        <v>236</v>
      </c>
      <c r="F70" s="1">
        <v>1</v>
      </c>
      <c r="G70" s="1">
        <v>2</v>
      </c>
      <c r="H70" s="1">
        <v>4</v>
      </c>
      <c r="I70" s="1">
        <v>2</v>
      </c>
      <c r="J70" s="1">
        <v>2</v>
      </c>
      <c r="K70" s="1">
        <v>4</v>
      </c>
      <c r="L70" s="1">
        <v>3</v>
      </c>
      <c r="M70" s="1">
        <v>4</v>
      </c>
      <c r="N70" s="1">
        <v>4</v>
      </c>
      <c r="O70" s="1">
        <v>3</v>
      </c>
      <c r="P70" s="1">
        <v>4</v>
      </c>
      <c r="Q70" s="1">
        <v>2</v>
      </c>
      <c r="R70" s="1">
        <v>3</v>
      </c>
      <c r="S70" s="9">
        <f t="shared" si="7"/>
        <v>2.6666666666666665</v>
      </c>
      <c r="T70" s="9">
        <f t="shared" si="8"/>
        <v>3</v>
      </c>
      <c r="U70" s="9">
        <f t="shared" si="9"/>
        <v>3.6666666666666665</v>
      </c>
      <c r="V70" s="9">
        <f t="shared" si="10"/>
        <v>3</v>
      </c>
      <c r="W70" s="9">
        <f t="shared" si="11"/>
        <v>12.333333333333332</v>
      </c>
      <c r="X70" s="9">
        <f t="shared" si="12"/>
        <v>3.083333333333333</v>
      </c>
      <c r="Y70" s="1">
        <f t="shared" si="13"/>
        <v>2</v>
      </c>
      <c r="Z70" s="1">
        <v>2</v>
      </c>
      <c r="AA70" s="2" t="s">
        <v>27</v>
      </c>
      <c r="AB70" s="10" t="s">
        <v>84</v>
      </c>
    </row>
    <row r="71" spans="1:28" x14ac:dyDescent="0.35">
      <c r="A71" s="1" t="s">
        <v>157</v>
      </c>
      <c r="B71" s="1">
        <v>31</v>
      </c>
      <c r="C71" s="1" t="str">
        <f>VLOOKUP(A71,[1]Export!$1:$1048576,6)</f>
        <v>Femenino</v>
      </c>
      <c r="D71" s="1" t="s">
        <v>231</v>
      </c>
      <c r="E71" s="1" t="s">
        <v>236</v>
      </c>
      <c r="F71" s="1">
        <v>1</v>
      </c>
      <c r="G71" s="1">
        <v>3</v>
      </c>
      <c r="H71" s="1">
        <v>2</v>
      </c>
      <c r="I71" s="1">
        <v>3</v>
      </c>
      <c r="J71" s="1">
        <v>2</v>
      </c>
      <c r="K71" s="1">
        <v>2</v>
      </c>
      <c r="L71" s="1">
        <v>2</v>
      </c>
      <c r="M71" s="1">
        <v>2</v>
      </c>
      <c r="N71" s="1">
        <v>4</v>
      </c>
      <c r="O71" s="1">
        <v>3</v>
      </c>
      <c r="P71" s="1">
        <v>4</v>
      </c>
      <c r="Q71" s="1">
        <v>4</v>
      </c>
      <c r="R71" s="1">
        <v>4</v>
      </c>
      <c r="S71" s="9">
        <f t="shared" si="7"/>
        <v>2.6666666666666665</v>
      </c>
      <c r="T71" s="9">
        <f t="shared" si="8"/>
        <v>2</v>
      </c>
      <c r="U71" s="9">
        <f t="shared" si="9"/>
        <v>3</v>
      </c>
      <c r="V71" s="9">
        <f t="shared" si="10"/>
        <v>4</v>
      </c>
      <c r="W71" s="9">
        <f t="shared" si="11"/>
        <v>11.666666666666666</v>
      </c>
      <c r="X71" s="9">
        <f t="shared" si="12"/>
        <v>2.9166666666666665</v>
      </c>
      <c r="Y71" s="1">
        <f t="shared" si="13"/>
        <v>1</v>
      </c>
      <c r="Z71" s="1">
        <v>2</v>
      </c>
      <c r="AA71" s="2" t="s">
        <v>52</v>
      </c>
      <c r="AB71" s="1" t="s">
        <v>83</v>
      </c>
    </row>
    <row r="72" spans="1:28" x14ac:dyDescent="0.35">
      <c r="A72" s="1" t="s">
        <v>158</v>
      </c>
      <c r="B72" s="1">
        <v>54</v>
      </c>
      <c r="C72" s="1" t="str">
        <f>VLOOKUP(A72,[1]Export!$1:$1048576,6)</f>
        <v>Femenino</v>
      </c>
      <c r="D72" s="1" t="s">
        <v>234</v>
      </c>
      <c r="E72" s="1" t="s">
        <v>236</v>
      </c>
      <c r="F72" s="1">
        <v>1</v>
      </c>
      <c r="G72" s="1">
        <v>4</v>
      </c>
      <c r="H72" s="1">
        <v>4</v>
      </c>
      <c r="I72" s="1">
        <v>5</v>
      </c>
      <c r="J72" s="1">
        <v>5</v>
      </c>
      <c r="K72" s="1">
        <v>4</v>
      </c>
      <c r="L72" s="1">
        <v>5</v>
      </c>
      <c r="M72" s="1">
        <v>4</v>
      </c>
      <c r="N72" s="1">
        <v>4</v>
      </c>
      <c r="O72" s="1">
        <v>4</v>
      </c>
      <c r="P72" s="1">
        <v>5</v>
      </c>
      <c r="Q72" s="1">
        <v>5</v>
      </c>
      <c r="R72" s="1">
        <v>4</v>
      </c>
      <c r="S72" s="9">
        <f t="shared" si="7"/>
        <v>4.333333333333333</v>
      </c>
      <c r="T72" s="9">
        <f t="shared" si="8"/>
        <v>4.666666666666667</v>
      </c>
      <c r="U72" s="9">
        <f t="shared" si="9"/>
        <v>4</v>
      </c>
      <c r="V72" s="9">
        <f t="shared" si="10"/>
        <v>4.666666666666667</v>
      </c>
      <c r="W72" s="9">
        <f t="shared" si="11"/>
        <v>17.666666666666668</v>
      </c>
      <c r="X72" s="9">
        <f t="shared" si="12"/>
        <v>4.416666666666667</v>
      </c>
      <c r="Y72" s="1">
        <f t="shared" si="13"/>
        <v>3</v>
      </c>
      <c r="Z72" s="1">
        <v>2</v>
      </c>
      <c r="AA72" s="2" t="s">
        <v>31</v>
      </c>
      <c r="AB72" s="1" t="s">
        <v>86</v>
      </c>
    </row>
    <row r="73" spans="1:28" x14ac:dyDescent="0.35">
      <c r="A73" s="1" t="s">
        <v>159</v>
      </c>
      <c r="B73" s="1">
        <v>30</v>
      </c>
      <c r="C73" s="1" t="str">
        <f>VLOOKUP(A73,[1]Export!$1:$1048576,6)</f>
        <v>Femenino</v>
      </c>
      <c r="D73" s="1" t="s">
        <v>243</v>
      </c>
      <c r="E73" s="1" t="s">
        <v>236</v>
      </c>
      <c r="F73" s="1">
        <v>1</v>
      </c>
      <c r="G73" s="1">
        <v>4</v>
      </c>
      <c r="H73" s="1">
        <v>4</v>
      </c>
      <c r="I73" s="1">
        <v>4</v>
      </c>
      <c r="J73" s="1">
        <v>4</v>
      </c>
      <c r="K73" s="1">
        <v>4</v>
      </c>
      <c r="L73" s="1">
        <v>5</v>
      </c>
      <c r="M73" s="1">
        <v>4</v>
      </c>
      <c r="N73" s="1">
        <v>5</v>
      </c>
      <c r="O73" s="1">
        <v>5</v>
      </c>
      <c r="P73" s="1">
        <v>5</v>
      </c>
      <c r="Q73" s="1">
        <v>4</v>
      </c>
      <c r="R73" s="1">
        <v>5</v>
      </c>
      <c r="S73" s="9">
        <f t="shared" si="7"/>
        <v>4</v>
      </c>
      <c r="T73" s="9">
        <f t="shared" si="8"/>
        <v>4.333333333333333</v>
      </c>
      <c r="U73" s="9">
        <f t="shared" si="9"/>
        <v>4.666666666666667</v>
      </c>
      <c r="V73" s="9">
        <f t="shared" si="10"/>
        <v>4.666666666666667</v>
      </c>
      <c r="W73" s="9">
        <f t="shared" si="11"/>
        <v>17.666666666666668</v>
      </c>
      <c r="X73" s="9">
        <f t="shared" si="12"/>
        <v>4.416666666666667</v>
      </c>
      <c r="Y73" s="1">
        <f t="shared" si="13"/>
        <v>3</v>
      </c>
      <c r="Z73" s="1">
        <v>2</v>
      </c>
      <c r="AA73" s="2" t="s">
        <v>54</v>
      </c>
      <c r="AB73" s="1" t="s">
        <v>86</v>
      </c>
    </row>
    <row r="74" spans="1:28" x14ac:dyDescent="0.35">
      <c r="A74" s="1" t="s">
        <v>160</v>
      </c>
      <c r="B74" s="1">
        <v>49</v>
      </c>
      <c r="C74" s="1" t="str">
        <f>VLOOKUP(A74,[1]Export!$1:$1048576,6)</f>
        <v>Masculino</v>
      </c>
      <c r="D74" s="1" t="s">
        <v>231</v>
      </c>
      <c r="E74" s="1" t="s">
        <v>236</v>
      </c>
      <c r="F74" s="1">
        <v>10</v>
      </c>
      <c r="G74" s="1">
        <v>2</v>
      </c>
      <c r="H74" s="1">
        <v>3</v>
      </c>
      <c r="I74" s="1">
        <v>4</v>
      </c>
      <c r="J74" s="1">
        <v>2</v>
      </c>
      <c r="K74" s="1">
        <v>2</v>
      </c>
      <c r="L74" s="1">
        <v>2</v>
      </c>
      <c r="M74" s="1">
        <v>2</v>
      </c>
      <c r="N74" s="1">
        <v>3</v>
      </c>
      <c r="O74" s="1">
        <v>2</v>
      </c>
      <c r="P74" s="1">
        <v>2</v>
      </c>
      <c r="Q74" s="1">
        <v>4</v>
      </c>
      <c r="R74" s="1">
        <v>4</v>
      </c>
      <c r="S74" s="9">
        <f t="shared" si="7"/>
        <v>3</v>
      </c>
      <c r="T74" s="9">
        <f t="shared" si="8"/>
        <v>2</v>
      </c>
      <c r="U74" s="9">
        <f t="shared" si="9"/>
        <v>2.3333333333333335</v>
      </c>
      <c r="V74" s="9">
        <f t="shared" si="10"/>
        <v>3.3333333333333335</v>
      </c>
      <c r="W74" s="9">
        <f t="shared" si="11"/>
        <v>10.666666666666668</v>
      </c>
      <c r="X74" s="9">
        <f t="shared" si="12"/>
        <v>2.666666666666667</v>
      </c>
      <c r="Y74" s="1">
        <f t="shared" si="13"/>
        <v>1</v>
      </c>
      <c r="Z74" s="1">
        <v>2</v>
      </c>
      <c r="AA74" s="2" t="s">
        <v>55</v>
      </c>
      <c r="AB74" s="1" t="s">
        <v>83</v>
      </c>
    </row>
    <row r="75" spans="1:28" x14ac:dyDescent="0.35">
      <c r="A75" s="1" t="s">
        <v>161</v>
      </c>
      <c r="B75" s="1">
        <v>49</v>
      </c>
      <c r="C75" s="1" t="str">
        <f>VLOOKUP(A75,[1]Export!$1:$1048576,6)</f>
        <v>Masculino</v>
      </c>
      <c r="D75" s="1" t="s">
        <v>233</v>
      </c>
      <c r="E75" s="1" t="s">
        <v>236</v>
      </c>
      <c r="F75" s="1">
        <v>10</v>
      </c>
      <c r="G75" s="1">
        <v>3</v>
      </c>
      <c r="H75" s="1">
        <v>3</v>
      </c>
      <c r="I75" s="1">
        <v>2</v>
      </c>
      <c r="J75" s="1">
        <v>2</v>
      </c>
      <c r="K75" s="1">
        <v>2</v>
      </c>
      <c r="L75" s="1">
        <v>2</v>
      </c>
      <c r="M75" s="1">
        <v>4</v>
      </c>
      <c r="N75" s="1">
        <v>3</v>
      </c>
      <c r="O75" s="1">
        <v>2</v>
      </c>
      <c r="P75" s="1">
        <v>4</v>
      </c>
      <c r="Q75" s="1">
        <v>4</v>
      </c>
      <c r="R75" s="1">
        <v>2</v>
      </c>
      <c r="S75" s="9">
        <f t="shared" si="7"/>
        <v>2.6666666666666665</v>
      </c>
      <c r="T75" s="9">
        <f t="shared" si="8"/>
        <v>2</v>
      </c>
      <c r="U75" s="9">
        <f t="shared" si="9"/>
        <v>3</v>
      </c>
      <c r="V75" s="9">
        <f t="shared" si="10"/>
        <v>3.3333333333333335</v>
      </c>
      <c r="W75" s="9">
        <f t="shared" si="11"/>
        <v>11</v>
      </c>
      <c r="X75" s="9">
        <f t="shared" si="12"/>
        <v>2.75</v>
      </c>
      <c r="Y75" s="1">
        <f t="shared" si="13"/>
        <v>1</v>
      </c>
      <c r="Z75" s="1">
        <v>2</v>
      </c>
      <c r="AA75" s="2" t="s">
        <v>29</v>
      </c>
      <c r="AB75" s="1" t="s">
        <v>83</v>
      </c>
    </row>
    <row r="76" spans="1:28" x14ac:dyDescent="0.35">
      <c r="A76" s="1" t="s">
        <v>162</v>
      </c>
      <c r="B76" s="1">
        <v>55</v>
      </c>
      <c r="C76" s="1" t="str">
        <f>VLOOKUP(A76,[1]Export!$1:$1048576,6)</f>
        <v>Femenino</v>
      </c>
      <c r="D76" s="1" t="s">
        <v>233</v>
      </c>
      <c r="E76" s="1" t="s">
        <v>236</v>
      </c>
      <c r="F76" s="1">
        <v>7</v>
      </c>
      <c r="G76" s="1">
        <v>4</v>
      </c>
      <c r="H76" s="1">
        <v>3</v>
      </c>
      <c r="I76" s="1">
        <v>4</v>
      </c>
      <c r="J76" s="1">
        <v>4</v>
      </c>
      <c r="K76" s="1">
        <v>4</v>
      </c>
      <c r="L76" s="1">
        <v>2</v>
      </c>
      <c r="M76" s="1">
        <v>2</v>
      </c>
      <c r="N76" s="1">
        <v>2</v>
      </c>
      <c r="O76" s="1">
        <v>2</v>
      </c>
      <c r="P76" s="1">
        <v>3</v>
      </c>
      <c r="Q76" s="1">
        <v>2</v>
      </c>
      <c r="R76" s="1">
        <v>4</v>
      </c>
      <c r="S76" s="9">
        <f t="shared" si="7"/>
        <v>3.6666666666666665</v>
      </c>
      <c r="T76" s="9">
        <f t="shared" si="8"/>
        <v>3.3333333333333335</v>
      </c>
      <c r="U76" s="9">
        <f t="shared" si="9"/>
        <v>2</v>
      </c>
      <c r="V76" s="9">
        <f t="shared" si="10"/>
        <v>3</v>
      </c>
      <c r="W76" s="9">
        <f t="shared" si="11"/>
        <v>12</v>
      </c>
      <c r="X76" s="9">
        <f t="shared" si="12"/>
        <v>3</v>
      </c>
      <c r="Y76" s="1">
        <f t="shared" si="13"/>
        <v>2</v>
      </c>
      <c r="Z76" s="1">
        <v>2</v>
      </c>
      <c r="AA76" s="2" t="s">
        <v>41</v>
      </c>
      <c r="AB76" s="10" t="s">
        <v>84</v>
      </c>
    </row>
    <row r="77" spans="1:28" x14ac:dyDescent="0.35">
      <c r="A77" s="1" t="s">
        <v>163</v>
      </c>
      <c r="B77" s="1">
        <v>42</v>
      </c>
      <c r="C77" s="1" t="str">
        <f>VLOOKUP(A77,[1]Export!$1:$1048576,6)</f>
        <v>Masculino</v>
      </c>
      <c r="D77" s="1" t="s">
        <v>231</v>
      </c>
      <c r="E77" s="1" t="s">
        <v>240</v>
      </c>
      <c r="F77" s="1">
        <v>14</v>
      </c>
      <c r="G77" s="1">
        <v>1</v>
      </c>
      <c r="H77" s="1">
        <v>2</v>
      </c>
      <c r="I77" s="1">
        <v>1</v>
      </c>
      <c r="J77" s="1">
        <v>1</v>
      </c>
      <c r="K77" s="1">
        <v>2</v>
      </c>
      <c r="L77" s="1">
        <v>2</v>
      </c>
      <c r="M77" s="1">
        <v>2</v>
      </c>
      <c r="N77" s="1">
        <v>2</v>
      </c>
      <c r="O77" s="1">
        <v>2</v>
      </c>
      <c r="P77" s="1">
        <v>1</v>
      </c>
      <c r="Q77" s="1">
        <v>2</v>
      </c>
      <c r="R77" s="1">
        <v>2</v>
      </c>
      <c r="S77" s="9">
        <f t="shared" si="7"/>
        <v>1.3333333333333333</v>
      </c>
      <c r="T77" s="9">
        <f t="shared" si="8"/>
        <v>1.6666666666666667</v>
      </c>
      <c r="U77" s="9">
        <f t="shared" si="9"/>
        <v>2</v>
      </c>
      <c r="V77" s="9">
        <f t="shared" si="10"/>
        <v>1.6666666666666667</v>
      </c>
      <c r="W77" s="9">
        <f t="shared" si="11"/>
        <v>6.666666666666667</v>
      </c>
      <c r="X77" s="9">
        <f t="shared" si="12"/>
        <v>1.6666666666666667</v>
      </c>
      <c r="Y77" s="1">
        <f t="shared" si="13"/>
        <v>1</v>
      </c>
      <c r="Z77" s="1">
        <v>2</v>
      </c>
      <c r="AA77" s="2" t="s">
        <v>56</v>
      </c>
      <c r="AB77" s="1" t="s">
        <v>83</v>
      </c>
    </row>
    <row r="78" spans="1:28" x14ac:dyDescent="0.35">
      <c r="A78" s="1" t="s">
        <v>164</v>
      </c>
      <c r="B78" s="1">
        <v>42</v>
      </c>
      <c r="C78" s="1" t="str">
        <f>VLOOKUP(A78,[1]Export!$1:$1048576,6)</f>
        <v>Masculino</v>
      </c>
      <c r="D78" s="1" t="s">
        <v>232</v>
      </c>
      <c r="E78" s="1" t="s">
        <v>236</v>
      </c>
      <c r="F78" s="1">
        <v>17</v>
      </c>
      <c r="G78" s="1">
        <v>1</v>
      </c>
      <c r="H78" s="1">
        <v>2</v>
      </c>
      <c r="I78" s="1">
        <v>1</v>
      </c>
      <c r="J78" s="1">
        <v>2</v>
      </c>
      <c r="K78" s="1">
        <v>2</v>
      </c>
      <c r="L78" s="1">
        <v>2</v>
      </c>
      <c r="M78" s="1">
        <v>1</v>
      </c>
      <c r="N78" s="1">
        <v>2</v>
      </c>
      <c r="O78" s="1">
        <v>1</v>
      </c>
      <c r="P78" s="1">
        <v>2</v>
      </c>
      <c r="Q78" s="1">
        <v>2</v>
      </c>
      <c r="R78" s="1">
        <v>2</v>
      </c>
      <c r="S78" s="9">
        <f t="shared" si="7"/>
        <v>1.3333333333333333</v>
      </c>
      <c r="T78" s="9">
        <f t="shared" si="8"/>
        <v>2</v>
      </c>
      <c r="U78" s="9">
        <f t="shared" si="9"/>
        <v>1.3333333333333333</v>
      </c>
      <c r="V78" s="9">
        <f t="shared" si="10"/>
        <v>2</v>
      </c>
      <c r="W78" s="9">
        <f t="shared" si="11"/>
        <v>6.6666666666666661</v>
      </c>
      <c r="X78" s="9">
        <f t="shared" si="12"/>
        <v>1.6666666666666665</v>
      </c>
      <c r="Y78" s="1">
        <f t="shared" si="13"/>
        <v>1</v>
      </c>
      <c r="Z78" s="1">
        <v>2</v>
      </c>
      <c r="AA78" s="2" t="s">
        <v>46</v>
      </c>
      <c r="AB78" s="1" t="s">
        <v>83</v>
      </c>
    </row>
    <row r="79" spans="1:28" x14ac:dyDescent="0.35">
      <c r="A79" s="1" t="s">
        <v>165</v>
      </c>
      <c r="B79" s="1">
        <v>44</v>
      </c>
      <c r="C79" s="1" t="str">
        <f>VLOOKUP(A79,[1]Export!$1:$1048576,6)</f>
        <v>Masculino</v>
      </c>
      <c r="D79" s="1" t="s">
        <v>231</v>
      </c>
      <c r="E79" s="1" t="s">
        <v>240</v>
      </c>
      <c r="F79" s="1">
        <v>11</v>
      </c>
      <c r="G79" s="1">
        <v>3</v>
      </c>
      <c r="H79" s="1">
        <v>2</v>
      </c>
      <c r="I79" s="1">
        <v>4</v>
      </c>
      <c r="J79" s="1">
        <v>4</v>
      </c>
      <c r="K79" s="1">
        <v>3</v>
      </c>
      <c r="L79" s="1">
        <v>4</v>
      </c>
      <c r="M79" s="1">
        <v>2</v>
      </c>
      <c r="N79" s="1">
        <v>2</v>
      </c>
      <c r="O79" s="1">
        <v>4</v>
      </c>
      <c r="P79" s="1">
        <v>2</v>
      </c>
      <c r="Q79" s="1">
        <v>3</v>
      </c>
      <c r="R79" s="1">
        <v>3</v>
      </c>
      <c r="S79" s="9">
        <f t="shared" si="7"/>
        <v>3</v>
      </c>
      <c r="T79" s="9">
        <f t="shared" si="8"/>
        <v>3.6666666666666665</v>
      </c>
      <c r="U79" s="9">
        <f t="shared" si="9"/>
        <v>2.6666666666666665</v>
      </c>
      <c r="V79" s="9">
        <f t="shared" si="10"/>
        <v>2.6666666666666665</v>
      </c>
      <c r="W79" s="9">
        <f t="shared" si="11"/>
        <v>11.999999999999998</v>
      </c>
      <c r="X79" s="9">
        <f t="shared" si="12"/>
        <v>2.9999999999999996</v>
      </c>
      <c r="Y79" s="1">
        <f t="shared" si="13"/>
        <v>2</v>
      </c>
      <c r="Z79" s="1">
        <v>2</v>
      </c>
      <c r="AA79" s="2" t="s">
        <v>28</v>
      </c>
      <c r="AB79" s="10" t="s">
        <v>84</v>
      </c>
    </row>
    <row r="80" spans="1:28" x14ac:dyDescent="0.35">
      <c r="A80" s="1" t="s">
        <v>166</v>
      </c>
      <c r="B80" s="1">
        <v>65</v>
      </c>
      <c r="C80" s="1" t="str">
        <f>VLOOKUP(A80,[1]Export!$1:$1048576,6)</f>
        <v>Masculino</v>
      </c>
      <c r="D80" s="1" t="s">
        <v>233</v>
      </c>
      <c r="E80" s="1" t="s">
        <v>236</v>
      </c>
      <c r="F80" s="1">
        <v>18</v>
      </c>
      <c r="G80" s="1">
        <v>4</v>
      </c>
      <c r="H80" s="1">
        <v>4</v>
      </c>
      <c r="I80" s="1">
        <v>4</v>
      </c>
      <c r="J80" s="1">
        <v>4</v>
      </c>
      <c r="K80" s="1">
        <v>3</v>
      </c>
      <c r="L80" s="1">
        <v>3</v>
      </c>
      <c r="M80" s="1">
        <v>2</v>
      </c>
      <c r="N80" s="1">
        <v>3</v>
      </c>
      <c r="O80" s="1">
        <v>3</v>
      </c>
      <c r="P80" s="1">
        <v>4</v>
      </c>
      <c r="Q80" s="1">
        <v>3</v>
      </c>
      <c r="R80" s="1">
        <v>4</v>
      </c>
      <c r="S80" s="9">
        <f t="shared" si="7"/>
        <v>4</v>
      </c>
      <c r="T80" s="9">
        <f t="shared" si="8"/>
        <v>3.3333333333333335</v>
      </c>
      <c r="U80" s="9">
        <f t="shared" si="9"/>
        <v>2.6666666666666665</v>
      </c>
      <c r="V80" s="9">
        <f t="shared" si="10"/>
        <v>3.6666666666666665</v>
      </c>
      <c r="W80" s="9">
        <f t="shared" si="11"/>
        <v>13.666666666666666</v>
      </c>
      <c r="X80" s="9">
        <f t="shared" si="12"/>
        <v>3.4166666666666665</v>
      </c>
      <c r="Y80" s="1">
        <f t="shared" si="13"/>
        <v>2</v>
      </c>
      <c r="Z80" s="1">
        <v>2</v>
      </c>
      <c r="AA80" s="2" t="s">
        <v>29</v>
      </c>
      <c r="AB80" s="10" t="s">
        <v>84</v>
      </c>
    </row>
    <row r="81" spans="1:28" x14ac:dyDescent="0.35">
      <c r="A81" s="1" t="s">
        <v>167</v>
      </c>
      <c r="B81" s="1">
        <v>43</v>
      </c>
      <c r="C81" s="1" t="str">
        <f>VLOOKUP(A81,[1]Export!$1:$1048576,6)</f>
        <v>Masculino</v>
      </c>
      <c r="D81" s="1" t="s">
        <v>232</v>
      </c>
      <c r="E81" s="1" t="s">
        <v>237</v>
      </c>
      <c r="F81" s="1">
        <v>18</v>
      </c>
      <c r="G81" s="1">
        <v>5</v>
      </c>
      <c r="H81" s="1">
        <v>4</v>
      </c>
      <c r="I81" s="1">
        <v>4</v>
      </c>
      <c r="J81" s="1">
        <v>5</v>
      </c>
      <c r="K81" s="1">
        <v>5</v>
      </c>
      <c r="L81" s="1">
        <v>5</v>
      </c>
      <c r="M81" s="1">
        <v>5</v>
      </c>
      <c r="N81" s="1">
        <v>4</v>
      </c>
      <c r="O81" s="1">
        <v>4</v>
      </c>
      <c r="P81" s="1">
        <v>4</v>
      </c>
      <c r="Q81" s="1">
        <v>4</v>
      </c>
      <c r="R81" s="1">
        <v>5</v>
      </c>
      <c r="S81" s="9">
        <f t="shared" si="7"/>
        <v>4.333333333333333</v>
      </c>
      <c r="T81" s="9">
        <f t="shared" si="8"/>
        <v>5</v>
      </c>
      <c r="U81" s="9">
        <f t="shared" si="9"/>
        <v>4.333333333333333</v>
      </c>
      <c r="V81" s="9">
        <f t="shared" si="10"/>
        <v>4.333333333333333</v>
      </c>
      <c r="W81" s="9">
        <f t="shared" si="11"/>
        <v>17.999999999999996</v>
      </c>
      <c r="X81" s="9">
        <f t="shared" si="12"/>
        <v>4.4999999999999991</v>
      </c>
      <c r="Y81" s="1">
        <f t="shared" si="13"/>
        <v>3</v>
      </c>
      <c r="Z81" s="1">
        <v>2</v>
      </c>
      <c r="AA81" s="2" t="s">
        <v>57</v>
      </c>
      <c r="AB81" s="1" t="s">
        <v>86</v>
      </c>
    </row>
    <row r="82" spans="1:28" x14ac:dyDescent="0.35">
      <c r="A82" s="1" t="s">
        <v>168</v>
      </c>
      <c r="B82" s="1">
        <v>43</v>
      </c>
      <c r="C82" s="1" t="str">
        <f>VLOOKUP(A82,[1]Export!$1:$1048576,6)</f>
        <v>Masculino</v>
      </c>
      <c r="D82" s="1" t="s">
        <v>232</v>
      </c>
      <c r="E82" s="1" t="s">
        <v>236</v>
      </c>
      <c r="F82" s="1">
        <v>14</v>
      </c>
      <c r="G82" s="1">
        <v>2</v>
      </c>
      <c r="H82" s="1">
        <v>1</v>
      </c>
      <c r="I82" s="1">
        <v>2</v>
      </c>
      <c r="J82" s="1">
        <v>1</v>
      </c>
      <c r="K82" s="1">
        <v>1</v>
      </c>
      <c r="L82" s="1">
        <v>1</v>
      </c>
      <c r="M82" s="1">
        <v>2</v>
      </c>
      <c r="N82" s="1">
        <v>2</v>
      </c>
      <c r="O82" s="1">
        <v>2</v>
      </c>
      <c r="P82" s="1">
        <v>2</v>
      </c>
      <c r="Q82" s="1">
        <v>1</v>
      </c>
      <c r="R82" s="1">
        <v>2</v>
      </c>
      <c r="S82" s="9">
        <f t="shared" si="7"/>
        <v>1.6666666666666667</v>
      </c>
      <c r="T82" s="9">
        <f t="shared" si="8"/>
        <v>1</v>
      </c>
      <c r="U82" s="9">
        <f t="shared" si="9"/>
        <v>2</v>
      </c>
      <c r="V82" s="9">
        <f t="shared" si="10"/>
        <v>1.6666666666666667</v>
      </c>
      <c r="W82" s="9">
        <f t="shared" si="11"/>
        <v>6.3333333333333339</v>
      </c>
      <c r="X82" s="9">
        <f t="shared" si="12"/>
        <v>1.5833333333333335</v>
      </c>
      <c r="Y82" s="1">
        <f t="shared" si="13"/>
        <v>1</v>
      </c>
      <c r="Z82" s="1">
        <v>2</v>
      </c>
      <c r="AA82" s="2" t="s">
        <v>13</v>
      </c>
      <c r="AB82" s="1" t="s">
        <v>83</v>
      </c>
    </row>
    <row r="83" spans="1:28" x14ac:dyDescent="0.35">
      <c r="A83" s="1" t="s">
        <v>169</v>
      </c>
      <c r="B83" s="1">
        <v>50</v>
      </c>
      <c r="C83" s="1" t="str">
        <f>VLOOKUP(A83,[1]Export!$1:$1048576,6)</f>
        <v>Masculino</v>
      </c>
      <c r="D83" s="1" t="s">
        <v>231</v>
      </c>
      <c r="E83" s="1" t="s">
        <v>236</v>
      </c>
      <c r="F83" s="1">
        <v>12</v>
      </c>
      <c r="G83" s="1">
        <v>3</v>
      </c>
      <c r="H83" s="1">
        <v>3</v>
      </c>
      <c r="I83" s="1">
        <v>2</v>
      </c>
      <c r="J83" s="1">
        <v>4</v>
      </c>
      <c r="K83" s="1">
        <v>2</v>
      </c>
      <c r="L83" s="1">
        <v>4</v>
      </c>
      <c r="M83" s="1">
        <v>2</v>
      </c>
      <c r="N83" s="1">
        <v>2</v>
      </c>
      <c r="O83" s="1">
        <v>3</v>
      </c>
      <c r="P83" s="1">
        <v>4</v>
      </c>
      <c r="Q83" s="1">
        <v>3</v>
      </c>
      <c r="R83" s="1">
        <v>2</v>
      </c>
      <c r="S83" s="9">
        <f t="shared" si="7"/>
        <v>2.6666666666666665</v>
      </c>
      <c r="T83" s="9">
        <f t="shared" si="8"/>
        <v>3.3333333333333335</v>
      </c>
      <c r="U83" s="9">
        <f t="shared" si="9"/>
        <v>2.3333333333333335</v>
      </c>
      <c r="V83" s="9">
        <f t="shared" si="10"/>
        <v>3</v>
      </c>
      <c r="W83" s="9">
        <f t="shared" si="11"/>
        <v>11.333333333333334</v>
      </c>
      <c r="X83" s="9">
        <f t="shared" si="12"/>
        <v>2.8333333333333335</v>
      </c>
      <c r="Y83" s="1">
        <f t="shared" si="13"/>
        <v>1</v>
      </c>
      <c r="Z83" s="1">
        <v>2</v>
      </c>
      <c r="AA83" s="2" t="s">
        <v>55</v>
      </c>
      <c r="AB83" s="1" t="s">
        <v>83</v>
      </c>
    </row>
    <row r="84" spans="1:28" x14ac:dyDescent="0.35">
      <c r="A84" s="1" t="s">
        <v>170</v>
      </c>
      <c r="B84" s="1">
        <v>43</v>
      </c>
      <c r="C84" s="1" t="str">
        <f>VLOOKUP(A84,[1]Export!$1:$1048576,6)</f>
        <v>Masculino</v>
      </c>
      <c r="D84" s="1" t="s">
        <v>233</v>
      </c>
      <c r="E84" s="1" t="s">
        <v>236</v>
      </c>
      <c r="F84" s="1">
        <v>10</v>
      </c>
      <c r="G84" s="1">
        <v>4</v>
      </c>
      <c r="H84" s="1">
        <v>2</v>
      </c>
      <c r="I84" s="1">
        <v>4</v>
      </c>
      <c r="J84" s="1">
        <v>2</v>
      </c>
      <c r="K84" s="1">
        <v>2</v>
      </c>
      <c r="L84" s="1">
        <v>2</v>
      </c>
      <c r="M84" s="1">
        <v>3</v>
      </c>
      <c r="N84" s="1">
        <v>3</v>
      </c>
      <c r="O84" s="1">
        <v>4</v>
      </c>
      <c r="P84" s="1">
        <v>4</v>
      </c>
      <c r="Q84" s="1">
        <v>4</v>
      </c>
      <c r="R84" s="1">
        <v>2</v>
      </c>
      <c r="S84" s="9">
        <f t="shared" si="7"/>
        <v>3.3333333333333335</v>
      </c>
      <c r="T84" s="9">
        <f t="shared" si="8"/>
        <v>2</v>
      </c>
      <c r="U84" s="9">
        <f t="shared" si="9"/>
        <v>3.3333333333333335</v>
      </c>
      <c r="V84" s="9">
        <f t="shared" si="10"/>
        <v>3.3333333333333335</v>
      </c>
      <c r="W84" s="9">
        <f t="shared" si="11"/>
        <v>12.000000000000002</v>
      </c>
      <c r="X84" s="9">
        <f t="shared" si="12"/>
        <v>3.0000000000000004</v>
      </c>
      <c r="Y84" s="1">
        <f t="shared" si="13"/>
        <v>2</v>
      </c>
      <c r="Z84" s="1">
        <v>2</v>
      </c>
      <c r="AA84" s="2" t="s">
        <v>38</v>
      </c>
      <c r="AB84" s="10" t="s">
        <v>84</v>
      </c>
    </row>
    <row r="85" spans="1:28" x14ac:dyDescent="0.35">
      <c r="A85" s="1" t="s">
        <v>171</v>
      </c>
      <c r="B85" s="1">
        <v>53</v>
      </c>
      <c r="C85" s="1" t="str">
        <f>VLOOKUP(A85,[1]Export!$1:$1048576,6)</f>
        <v>Masculino</v>
      </c>
      <c r="D85" s="1" t="s">
        <v>231</v>
      </c>
      <c r="E85" s="1" t="s">
        <v>237</v>
      </c>
      <c r="F85" s="1">
        <v>4</v>
      </c>
      <c r="G85" s="1">
        <v>4</v>
      </c>
      <c r="H85" s="1">
        <v>3</v>
      </c>
      <c r="I85" s="1">
        <v>4</v>
      </c>
      <c r="J85" s="1">
        <v>2</v>
      </c>
      <c r="K85" s="1">
        <v>3</v>
      </c>
      <c r="L85" s="1">
        <v>2</v>
      </c>
      <c r="M85" s="1">
        <v>4</v>
      </c>
      <c r="N85" s="1">
        <v>4</v>
      </c>
      <c r="O85" s="1">
        <v>4</v>
      </c>
      <c r="P85" s="1">
        <v>4</v>
      </c>
      <c r="Q85" s="1">
        <v>2</v>
      </c>
      <c r="R85" s="1">
        <v>4</v>
      </c>
      <c r="S85" s="9">
        <f t="shared" si="7"/>
        <v>3.6666666666666665</v>
      </c>
      <c r="T85" s="9">
        <f t="shared" si="8"/>
        <v>2.3333333333333335</v>
      </c>
      <c r="U85" s="9">
        <f t="shared" si="9"/>
        <v>4</v>
      </c>
      <c r="V85" s="9">
        <f t="shared" si="10"/>
        <v>3.3333333333333335</v>
      </c>
      <c r="W85" s="9">
        <f t="shared" si="11"/>
        <v>13.333333333333334</v>
      </c>
      <c r="X85" s="9">
        <f t="shared" si="12"/>
        <v>3.3333333333333335</v>
      </c>
      <c r="Y85" s="1">
        <f t="shared" si="13"/>
        <v>2</v>
      </c>
      <c r="Z85" s="1">
        <v>2</v>
      </c>
      <c r="AA85" s="2" t="s">
        <v>36</v>
      </c>
      <c r="AB85" s="10" t="s">
        <v>84</v>
      </c>
    </row>
    <row r="86" spans="1:28" x14ac:dyDescent="0.35">
      <c r="A86" s="1" t="s">
        <v>172</v>
      </c>
      <c r="B86" s="1">
        <v>39</v>
      </c>
      <c r="C86" s="1" t="str">
        <f>VLOOKUP(A86,[1]Export!$1:$1048576,6)</f>
        <v>Masculino</v>
      </c>
      <c r="D86" s="1" t="s">
        <v>231</v>
      </c>
      <c r="E86" s="1" t="s">
        <v>236</v>
      </c>
      <c r="F86" s="1">
        <v>14</v>
      </c>
      <c r="G86" s="1">
        <v>3</v>
      </c>
      <c r="H86" s="1">
        <v>4</v>
      </c>
      <c r="I86" s="1">
        <v>2</v>
      </c>
      <c r="J86" s="1">
        <v>4</v>
      </c>
      <c r="K86" s="1">
        <v>4</v>
      </c>
      <c r="L86" s="1">
        <v>3</v>
      </c>
      <c r="M86" s="1">
        <v>4</v>
      </c>
      <c r="N86" s="1">
        <v>2</v>
      </c>
      <c r="O86" s="1">
        <v>3</v>
      </c>
      <c r="P86" s="1">
        <v>2</v>
      </c>
      <c r="Q86" s="1">
        <v>2</v>
      </c>
      <c r="R86" s="1">
        <v>4</v>
      </c>
      <c r="S86" s="9">
        <f t="shared" si="7"/>
        <v>3</v>
      </c>
      <c r="T86" s="9">
        <f t="shared" si="8"/>
        <v>3.6666666666666665</v>
      </c>
      <c r="U86" s="9">
        <f t="shared" si="9"/>
        <v>3</v>
      </c>
      <c r="V86" s="9">
        <f t="shared" si="10"/>
        <v>2.6666666666666665</v>
      </c>
      <c r="W86" s="9">
        <f t="shared" si="11"/>
        <v>12.333333333333332</v>
      </c>
      <c r="X86" s="9">
        <f t="shared" si="12"/>
        <v>3.083333333333333</v>
      </c>
      <c r="Y86" s="1">
        <f t="shared" si="13"/>
        <v>2</v>
      </c>
      <c r="Z86" s="1">
        <v>2</v>
      </c>
      <c r="AA86" s="2" t="s">
        <v>14</v>
      </c>
      <c r="AB86" s="10" t="s">
        <v>84</v>
      </c>
    </row>
    <row r="87" spans="1:28" x14ac:dyDescent="0.35">
      <c r="A87" s="1" t="s">
        <v>173</v>
      </c>
      <c r="B87" s="1">
        <v>34</v>
      </c>
      <c r="C87" s="1" t="str">
        <f>VLOOKUP(A87,[1]Export!$1:$1048576,6)</f>
        <v>Masculino</v>
      </c>
      <c r="D87" s="1" t="s">
        <v>232</v>
      </c>
      <c r="E87" s="1" t="s">
        <v>241</v>
      </c>
      <c r="F87" s="1">
        <v>12</v>
      </c>
      <c r="G87" s="1">
        <v>2</v>
      </c>
      <c r="H87" s="1">
        <v>1</v>
      </c>
      <c r="I87" s="1">
        <v>1</v>
      </c>
      <c r="J87" s="1">
        <v>1</v>
      </c>
      <c r="K87" s="1">
        <v>2</v>
      </c>
      <c r="L87" s="1">
        <v>1</v>
      </c>
      <c r="M87" s="1">
        <v>2</v>
      </c>
      <c r="N87" s="1">
        <v>2</v>
      </c>
      <c r="O87" s="1">
        <v>2</v>
      </c>
      <c r="P87" s="1">
        <v>2</v>
      </c>
      <c r="Q87" s="1">
        <v>1</v>
      </c>
      <c r="R87" s="1">
        <v>2</v>
      </c>
      <c r="S87" s="9">
        <f t="shared" si="7"/>
        <v>1.3333333333333333</v>
      </c>
      <c r="T87" s="9">
        <f t="shared" si="8"/>
        <v>1.3333333333333333</v>
      </c>
      <c r="U87" s="9">
        <f t="shared" si="9"/>
        <v>2</v>
      </c>
      <c r="V87" s="9">
        <f t="shared" si="10"/>
        <v>1.6666666666666667</v>
      </c>
      <c r="W87" s="9">
        <f t="shared" si="11"/>
        <v>6.333333333333333</v>
      </c>
      <c r="X87" s="9">
        <f t="shared" si="12"/>
        <v>1.5833333333333333</v>
      </c>
      <c r="Y87" s="1">
        <f t="shared" si="13"/>
        <v>1</v>
      </c>
      <c r="Z87" s="1">
        <v>2</v>
      </c>
      <c r="AA87" s="2" t="s">
        <v>53</v>
      </c>
      <c r="AB87" s="1" t="s">
        <v>83</v>
      </c>
    </row>
    <row r="88" spans="1:28" x14ac:dyDescent="0.35">
      <c r="A88" s="1" t="s">
        <v>174</v>
      </c>
      <c r="B88" s="1">
        <v>41</v>
      </c>
      <c r="C88" s="1" t="str">
        <f>VLOOKUP(A88,[1]Export!$1:$1048576,6)</f>
        <v>Femenino</v>
      </c>
      <c r="D88" s="1" t="s">
        <v>235</v>
      </c>
      <c r="E88" s="1" t="s">
        <v>236</v>
      </c>
      <c r="F88" s="1">
        <v>12</v>
      </c>
      <c r="G88" s="1">
        <v>4</v>
      </c>
      <c r="H88" s="1">
        <v>4</v>
      </c>
      <c r="I88" s="1">
        <v>4</v>
      </c>
      <c r="J88" s="1">
        <v>2</v>
      </c>
      <c r="K88" s="1">
        <v>4</v>
      </c>
      <c r="L88" s="1">
        <v>4</v>
      </c>
      <c r="M88" s="1">
        <v>3</v>
      </c>
      <c r="N88" s="1">
        <v>4</v>
      </c>
      <c r="O88" s="1">
        <v>2</v>
      </c>
      <c r="P88" s="1">
        <v>4</v>
      </c>
      <c r="Q88" s="1">
        <v>3</v>
      </c>
      <c r="R88" s="1">
        <v>2</v>
      </c>
      <c r="S88" s="9">
        <f t="shared" si="7"/>
        <v>4</v>
      </c>
      <c r="T88" s="9">
        <f t="shared" si="8"/>
        <v>3.3333333333333335</v>
      </c>
      <c r="U88" s="9">
        <f t="shared" si="9"/>
        <v>3</v>
      </c>
      <c r="V88" s="9">
        <f t="shared" si="10"/>
        <v>3</v>
      </c>
      <c r="W88" s="9">
        <f t="shared" si="11"/>
        <v>13.333333333333334</v>
      </c>
      <c r="X88" s="9">
        <f t="shared" si="12"/>
        <v>3.3333333333333335</v>
      </c>
      <c r="Y88" s="1">
        <f t="shared" si="13"/>
        <v>2</v>
      </c>
      <c r="Z88" s="1">
        <v>2</v>
      </c>
      <c r="AA88" s="2" t="s">
        <v>25</v>
      </c>
      <c r="AB88" s="10" t="s">
        <v>84</v>
      </c>
    </row>
    <row r="89" spans="1:28" x14ac:dyDescent="0.35">
      <c r="A89" s="1" t="s">
        <v>175</v>
      </c>
      <c r="B89" s="1">
        <v>40</v>
      </c>
      <c r="C89" s="1" t="str">
        <f>VLOOKUP(A89,[1]Export!$1:$1048576,6)</f>
        <v>Masculino</v>
      </c>
      <c r="D89" s="1" t="s">
        <v>232</v>
      </c>
      <c r="E89" s="1" t="s">
        <v>236</v>
      </c>
      <c r="F89" s="1">
        <v>14</v>
      </c>
      <c r="G89" s="1">
        <v>3</v>
      </c>
      <c r="H89" s="1">
        <v>3</v>
      </c>
      <c r="I89" s="1">
        <v>4</v>
      </c>
      <c r="J89" s="1">
        <v>2</v>
      </c>
      <c r="K89" s="1">
        <v>2</v>
      </c>
      <c r="L89" s="1">
        <v>2</v>
      </c>
      <c r="M89" s="1">
        <v>4</v>
      </c>
      <c r="N89" s="1">
        <v>4</v>
      </c>
      <c r="O89" s="1">
        <v>4</v>
      </c>
      <c r="P89" s="1">
        <v>3</v>
      </c>
      <c r="Q89" s="1">
        <v>4</v>
      </c>
      <c r="R89" s="1">
        <v>4</v>
      </c>
      <c r="S89" s="9">
        <f t="shared" si="7"/>
        <v>3.3333333333333335</v>
      </c>
      <c r="T89" s="9">
        <f t="shared" si="8"/>
        <v>2</v>
      </c>
      <c r="U89" s="9">
        <f t="shared" si="9"/>
        <v>4</v>
      </c>
      <c r="V89" s="9">
        <f t="shared" si="10"/>
        <v>3.6666666666666665</v>
      </c>
      <c r="W89" s="9">
        <f t="shared" si="11"/>
        <v>13</v>
      </c>
      <c r="X89" s="9">
        <f t="shared" si="12"/>
        <v>3.25</v>
      </c>
      <c r="Y89" s="1">
        <f t="shared" si="13"/>
        <v>2</v>
      </c>
      <c r="Z89" s="1">
        <v>2</v>
      </c>
      <c r="AA89" s="2">
        <v>3.31</v>
      </c>
      <c r="AB89" s="10" t="s">
        <v>84</v>
      </c>
    </row>
    <row r="90" spans="1:28" x14ac:dyDescent="0.35">
      <c r="A90" s="1" t="s">
        <v>176</v>
      </c>
      <c r="B90" s="1">
        <v>61</v>
      </c>
      <c r="C90" s="1" t="str">
        <f>VLOOKUP(A90,[1]Export!$1:$1048576,6)</f>
        <v>Masculino</v>
      </c>
      <c r="D90" s="1" t="s">
        <v>230</v>
      </c>
      <c r="E90" s="1" t="s">
        <v>236</v>
      </c>
      <c r="F90" s="1">
        <v>0</v>
      </c>
      <c r="G90" s="1">
        <v>5</v>
      </c>
      <c r="H90" s="1">
        <v>5</v>
      </c>
      <c r="I90" s="1">
        <v>5</v>
      </c>
      <c r="J90" s="1">
        <v>5</v>
      </c>
      <c r="K90" s="1">
        <v>5</v>
      </c>
      <c r="L90" s="1">
        <v>4</v>
      </c>
      <c r="M90" s="1">
        <v>4</v>
      </c>
      <c r="N90" s="1">
        <v>5</v>
      </c>
      <c r="O90" s="1">
        <v>4</v>
      </c>
      <c r="P90" s="1">
        <v>4</v>
      </c>
      <c r="Q90" s="1">
        <v>5</v>
      </c>
      <c r="R90" s="1">
        <v>5</v>
      </c>
      <c r="S90" s="9">
        <f t="shared" si="7"/>
        <v>5</v>
      </c>
      <c r="T90" s="9">
        <f t="shared" si="8"/>
        <v>4.666666666666667</v>
      </c>
      <c r="U90" s="9">
        <f t="shared" si="9"/>
        <v>4.333333333333333</v>
      </c>
      <c r="V90" s="9">
        <f t="shared" si="10"/>
        <v>4.666666666666667</v>
      </c>
      <c r="W90" s="9">
        <f t="shared" si="11"/>
        <v>18.666666666666668</v>
      </c>
      <c r="X90" s="9">
        <f t="shared" si="12"/>
        <v>4.666666666666667</v>
      </c>
      <c r="Y90" s="1">
        <f t="shared" si="13"/>
        <v>3</v>
      </c>
      <c r="Z90" s="1">
        <v>2</v>
      </c>
      <c r="AA90" s="2" t="s">
        <v>29</v>
      </c>
      <c r="AB90" s="1" t="s">
        <v>86</v>
      </c>
    </row>
    <row r="91" spans="1:28" x14ac:dyDescent="0.35">
      <c r="A91" s="1" t="s">
        <v>177</v>
      </c>
      <c r="B91" s="1">
        <v>46</v>
      </c>
      <c r="C91" s="1" t="str">
        <f>VLOOKUP(A91,[1]Export!$1:$1048576,6)</f>
        <v>Masculino</v>
      </c>
      <c r="D91" s="1" t="s">
        <v>230</v>
      </c>
      <c r="E91" s="1" t="s">
        <v>236</v>
      </c>
      <c r="F91" s="1">
        <v>6</v>
      </c>
      <c r="G91" s="1">
        <v>2</v>
      </c>
      <c r="H91" s="1">
        <v>2</v>
      </c>
      <c r="I91" s="1">
        <v>3</v>
      </c>
      <c r="J91" s="1">
        <v>4</v>
      </c>
      <c r="K91" s="1">
        <v>3</v>
      </c>
      <c r="L91" s="1">
        <v>4</v>
      </c>
      <c r="M91" s="1">
        <v>3</v>
      </c>
      <c r="N91" s="1">
        <v>2</v>
      </c>
      <c r="O91" s="1">
        <v>4</v>
      </c>
      <c r="P91" s="1">
        <v>4</v>
      </c>
      <c r="Q91" s="1">
        <v>2</v>
      </c>
      <c r="R91" s="1">
        <v>3</v>
      </c>
      <c r="S91" s="9">
        <f t="shared" si="7"/>
        <v>2.3333333333333335</v>
      </c>
      <c r="T91" s="9">
        <f t="shared" si="8"/>
        <v>3.6666666666666665</v>
      </c>
      <c r="U91" s="9">
        <f t="shared" si="9"/>
        <v>3</v>
      </c>
      <c r="V91" s="9">
        <f t="shared" si="10"/>
        <v>3</v>
      </c>
      <c r="W91" s="9">
        <f t="shared" si="11"/>
        <v>12</v>
      </c>
      <c r="X91" s="9">
        <f t="shared" si="12"/>
        <v>3</v>
      </c>
      <c r="Y91" s="1">
        <f t="shared" si="13"/>
        <v>2</v>
      </c>
      <c r="Z91" s="1">
        <v>2</v>
      </c>
      <c r="AA91" s="2">
        <v>3.32</v>
      </c>
      <c r="AB91" s="10" t="s">
        <v>84</v>
      </c>
    </row>
    <row r="92" spans="1:28" x14ac:dyDescent="0.35">
      <c r="A92" s="1" t="s">
        <v>178</v>
      </c>
      <c r="B92" s="1">
        <v>38</v>
      </c>
      <c r="C92" s="1" t="str">
        <f>VLOOKUP(A92,[1]Export!$1:$1048576,6)</f>
        <v>Femenino</v>
      </c>
      <c r="D92" s="1" t="s">
        <v>232</v>
      </c>
      <c r="E92" s="1" t="s">
        <v>236</v>
      </c>
      <c r="F92" s="1">
        <v>2</v>
      </c>
      <c r="G92" s="1">
        <v>2</v>
      </c>
      <c r="H92" s="1">
        <v>4</v>
      </c>
      <c r="I92" s="1">
        <v>2</v>
      </c>
      <c r="J92" s="1">
        <v>4</v>
      </c>
      <c r="K92" s="1">
        <v>3</v>
      </c>
      <c r="L92" s="1">
        <v>4</v>
      </c>
      <c r="M92" s="1">
        <v>3</v>
      </c>
      <c r="N92" s="1">
        <v>4</v>
      </c>
      <c r="O92" s="1">
        <v>2</v>
      </c>
      <c r="P92" s="1">
        <v>4</v>
      </c>
      <c r="Q92" s="1">
        <v>4</v>
      </c>
      <c r="R92" s="1">
        <v>2</v>
      </c>
      <c r="S92" s="9">
        <f t="shared" si="7"/>
        <v>2.6666666666666665</v>
      </c>
      <c r="T92" s="9">
        <f t="shared" si="8"/>
        <v>3.6666666666666665</v>
      </c>
      <c r="U92" s="9">
        <f t="shared" si="9"/>
        <v>3</v>
      </c>
      <c r="V92" s="9">
        <f t="shared" si="10"/>
        <v>3.3333333333333335</v>
      </c>
      <c r="W92" s="9">
        <f t="shared" si="11"/>
        <v>12.666666666666666</v>
      </c>
      <c r="X92" s="9">
        <f t="shared" si="12"/>
        <v>3.1666666666666665</v>
      </c>
      <c r="Y92" s="1">
        <f t="shared" si="13"/>
        <v>2</v>
      </c>
      <c r="Z92" s="1">
        <v>2</v>
      </c>
      <c r="AA92" s="2" t="s">
        <v>58</v>
      </c>
      <c r="AB92" s="10" t="s">
        <v>84</v>
      </c>
    </row>
    <row r="93" spans="1:28" x14ac:dyDescent="0.35">
      <c r="A93" s="1" t="s">
        <v>179</v>
      </c>
      <c r="B93" s="1">
        <v>48</v>
      </c>
      <c r="C93" s="1" t="str">
        <f>VLOOKUP(A93,[1]Export!$1:$1048576,6)</f>
        <v>Masculino</v>
      </c>
      <c r="D93" s="1" t="s">
        <v>232</v>
      </c>
      <c r="E93" s="1" t="s">
        <v>236</v>
      </c>
      <c r="F93" s="1">
        <v>18</v>
      </c>
      <c r="G93" s="1">
        <v>4</v>
      </c>
      <c r="H93" s="1">
        <v>3</v>
      </c>
      <c r="I93" s="1">
        <v>4</v>
      </c>
      <c r="J93" s="1">
        <v>4</v>
      </c>
      <c r="K93" s="1">
        <v>2</v>
      </c>
      <c r="L93" s="1">
        <v>3</v>
      </c>
      <c r="M93" s="1">
        <v>2</v>
      </c>
      <c r="N93" s="1">
        <v>2</v>
      </c>
      <c r="O93" s="1">
        <v>4</v>
      </c>
      <c r="P93" s="1">
        <v>3</v>
      </c>
      <c r="Q93" s="1">
        <v>4</v>
      </c>
      <c r="R93" s="1">
        <v>4</v>
      </c>
      <c r="S93" s="9">
        <f t="shared" si="7"/>
        <v>3.6666666666666665</v>
      </c>
      <c r="T93" s="9">
        <f t="shared" si="8"/>
        <v>3</v>
      </c>
      <c r="U93" s="9">
        <f t="shared" si="9"/>
        <v>2.6666666666666665</v>
      </c>
      <c r="V93" s="9">
        <f t="shared" si="10"/>
        <v>3.6666666666666665</v>
      </c>
      <c r="W93" s="9">
        <f t="shared" si="11"/>
        <v>12.999999999999998</v>
      </c>
      <c r="X93" s="9">
        <f t="shared" si="12"/>
        <v>3.2499999999999996</v>
      </c>
      <c r="Y93" s="1">
        <f t="shared" si="13"/>
        <v>2</v>
      </c>
      <c r="Z93" s="1">
        <v>2</v>
      </c>
      <c r="AA93" s="2" t="s">
        <v>25</v>
      </c>
      <c r="AB93" s="10" t="s">
        <v>84</v>
      </c>
    </row>
    <row r="94" spans="1:28" x14ac:dyDescent="0.35">
      <c r="A94" s="1" t="s">
        <v>180</v>
      </c>
      <c r="B94" s="1">
        <v>49</v>
      </c>
      <c r="C94" s="1" t="str">
        <f>VLOOKUP(A94,[1]Export!$1:$1048576,6)</f>
        <v>Masculino</v>
      </c>
      <c r="D94" s="1" t="s">
        <v>231</v>
      </c>
      <c r="E94" s="1" t="s">
        <v>236</v>
      </c>
      <c r="F94" s="1">
        <v>18</v>
      </c>
      <c r="G94" s="1">
        <v>2</v>
      </c>
      <c r="H94" s="1">
        <v>2</v>
      </c>
      <c r="I94" s="1">
        <v>4</v>
      </c>
      <c r="J94" s="1">
        <v>3</v>
      </c>
      <c r="K94" s="1">
        <v>2</v>
      </c>
      <c r="L94" s="1">
        <v>2</v>
      </c>
      <c r="M94" s="1">
        <v>4</v>
      </c>
      <c r="N94" s="1">
        <v>3</v>
      </c>
      <c r="O94" s="1">
        <v>3</v>
      </c>
      <c r="P94" s="1">
        <v>4</v>
      </c>
      <c r="Q94" s="1">
        <v>3</v>
      </c>
      <c r="R94" s="1">
        <v>2</v>
      </c>
      <c r="S94" s="9">
        <f t="shared" si="7"/>
        <v>2.6666666666666665</v>
      </c>
      <c r="T94" s="9">
        <f t="shared" si="8"/>
        <v>2.3333333333333335</v>
      </c>
      <c r="U94" s="9">
        <f t="shared" si="9"/>
        <v>3.3333333333333335</v>
      </c>
      <c r="V94" s="9">
        <f t="shared" si="10"/>
        <v>3</v>
      </c>
      <c r="W94" s="9">
        <f t="shared" si="11"/>
        <v>11.333333333333334</v>
      </c>
      <c r="X94" s="9">
        <f t="shared" si="12"/>
        <v>2.8333333333333335</v>
      </c>
      <c r="Y94" s="1">
        <f t="shared" si="13"/>
        <v>1</v>
      </c>
      <c r="Z94" s="1">
        <v>2</v>
      </c>
      <c r="AA94" s="2" t="s">
        <v>59</v>
      </c>
      <c r="AB94" s="1" t="s">
        <v>83</v>
      </c>
    </row>
    <row r="95" spans="1:28" x14ac:dyDescent="0.35">
      <c r="A95" s="1" t="s">
        <v>181</v>
      </c>
      <c r="B95" s="1">
        <v>44</v>
      </c>
      <c r="C95" s="1" t="str">
        <f>VLOOKUP(A95,[1]Export!$1:$1048576,6)</f>
        <v>Masculino</v>
      </c>
      <c r="D95" s="1" t="s">
        <v>231</v>
      </c>
      <c r="E95" s="1" t="s">
        <v>236</v>
      </c>
      <c r="F95" s="1">
        <v>17</v>
      </c>
      <c r="G95" s="1">
        <v>3</v>
      </c>
      <c r="H95" s="1">
        <v>2</v>
      </c>
      <c r="I95" s="1">
        <v>3</v>
      </c>
      <c r="J95" s="1">
        <v>2</v>
      </c>
      <c r="K95" s="1">
        <v>3</v>
      </c>
      <c r="L95" s="1">
        <v>4</v>
      </c>
      <c r="M95" s="1">
        <v>4</v>
      </c>
      <c r="N95" s="1">
        <v>2</v>
      </c>
      <c r="O95" s="1">
        <v>4</v>
      </c>
      <c r="P95" s="1">
        <v>2</v>
      </c>
      <c r="Q95" s="1">
        <v>3</v>
      </c>
      <c r="R95" s="1">
        <v>2</v>
      </c>
      <c r="S95" s="9">
        <f t="shared" si="7"/>
        <v>2.6666666666666665</v>
      </c>
      <c r="T95" s="9">
        <f t="shared" si="8"/>
        <v>3</v>
      </c>
      <c r="U95" s="9">
        <f t="shared" si="9"/>
        <v>3.3333333333333335</v>
      </c>
      <c r="V95" s="9">
        <f t="shared" si="10"/>
        <v>2.3333333333333335</v>
      </c>
      <c r="W95" s="9">
        <f t="shared" si="11"/>
        <v>11.333333333333334</v>
      </c>
      <c r="X95" s="9">
        <f t="shared" si="12"/>
        <v>2.8333333333333335</v>
      </c>
      <c r="Y95" s="1">
        <f t="shared" si="13"/>
        <v>1</v>
      </c>
      <c r="Z95" s="1">
        <v>2</v>
      </c>
      <c r="AA95" s="2" t="s">
        <v>20</v>
      </c>
      <c r="AB95" s="1" t="s">
        <v>83</v>
      </c>
    </row>
    <row r="96" spans="1:28" x14ac:dyDescent="0.35">
      <c r="A96" s="1" t="s">
        <v>182</v>
      </c>
      <c r="B96" s="1">
        <v>47</v>
      </c>
      <c r="C96" s="1" t="str">
        <f>VLOOKUP(A96,[1]Export!$1:$1048576,6)</f>
        <v>Masculino</v>
      </c>
      <c r="D96" s="1" t="s">
        <v>234</v>
      </c>
      <c r="E96" s="1" t="s">
        <v>236</v>
      </c>
      <c r="F96" s="1">
        <v>17</v>
      </c>
      <c r="G96" s="1">
        <v>4</v>
      </c>
      <c r="H96" s="1">
        <v>4</v>
      </c>
      <c r="I96" s="1">
        <v>4</v>
      </c>
      <c r="J96" s="1">
        <v>3</v>
      </c>
      <c r="K96" s="1">
        <v>2</v>
      </c>
      <c r="L96" s="1">
        <v>4</v>
      </c>
      <c r="M96" s="1">
        <v>3</v>
      </c>
      <c r="N96" s="1">
        <v>4</v>
      </c>
      <c r="O96" s="1">
        <v>4</v>
      </c>
      <c r="P96" s="1">
        <v>2</v>
      </c>
      <c r="Q96" s="1">
        <v>3</v>
      </c>
      <c r="R96" s="1">
        <v>4</v>
      </c>
      <c r="S96" s="9">
        <f t="shared" si="7"/>
        <v>4</v>
      </c>
      <c r="T96" s="9">
        <f t="shared" si="8"/>
        <v>3</v>
      </c>
      <c r="U96" s="9">
        <f t="shared" si="9"/>
        <v>3.6666666666666665</v>
      </c>
      <c r="V96" s="9">
        <f t="shared" si="10"/>
        <v>3</v>
      </c>
      <c r="W96" s="9">
        <f t="shared" si="11"/>
        <v>13.666666666666666</v>
      </c>
      <c r="X96" s="9">
        <f t="shared" si="12"/>
        <v>3.4166666666666665</v>
      </c>
      <c r="Y96" s="1">
        <f t="shared" si="13"/>
        <v>2</v>
      </c>
      <c r="Z96" s="1">
        <v>2</v>
      </c>
      <c r="AA96" s="2" t="s">
        <v>60</v>
      </c>
      <c r="AB96" s="10" t="s">
        <v>84</v>
      </c>
    </row>
    <row r="97" spans="1:28" x14ac:dyDescent="0.35">
      <c r="A97" s="1" t="s">
        <v>183</v>
      </c>
      <c r="B97" s="1">
        <v>49</v>
      </c>
      <c r="C97" s="1" t="str">
        <f>VLOOKUP(A97,[1]Export!$1:$1048576,6)</f>
        <v>Masculino</v>
      </c>
      <c r="D97" s="1" t="s">
        <v>231</v>
      </c>
      <c r="E97" s="1" t="s">
        <v>236</v>
      </c>
      <c r="F97" s="1">
        <v>17</v>
      </c>
      <c r="G97" s="1">
        <v>4</v>
      </c>
      <c r="H97" s="1">
        <v>4</v>
      </c>
      <c r="I97" s="1">
        <v>4</v>
      </c>
      <c r="J97" s="1">
        <v>4</v>
      </c>
      <c r="K97" s="1">
        <v>4</v>
      </c>
      <c r="L97" s="1">
        <v>5</v>
      </c>
      <c r="M97" s="1">
        <v>5</v>
      </c>
      <c r="N97" s="1">
        <v>4</v>
      </c>
      <c r="O97" s="1">
        <v>4</v>
      </c>
      <c r="P97" s="1">
        <v>4</v>
      </c>
      <c r="Q97" s="1">
        <v>4</v>
      </c>
      <c r="R97" s="1">
        <v>5</v>
      </c>
      <c r="S97" s="9">
        <f t="shared" si="7"/>
        <v>4</v>
      </c>
      <c r="T97" s="9">
        <f t="shared" si="8"/>
        <v>4.333333333333333</v>
      </c>
      <c r="U97" s="9">
        <f t="shared" si="9"/>
        <v>4.333333333333333</v>
      </c>
      <c r="V97" s="9">
        <f t="shared" si="10"/>
        <v>4.333333333333333</v>
      </c>
      <c r="W97" s="9">
        <f t="shared" si="11"/>
        <v>16.999999999999996</v>
      </c>
      <c r="X97" s="9">
        <f t="shared" si="12"/>
        <v>4.2499999999999991</v>
      </c>
      <c r="Y97" s="1">
        <f t="shared" si="13"/>
        <v>3</v>
      </c>
      <c r="Z97" s="1">
        <v>2</v>
      </c>
      <c r="AA97" s="2" t="s">
        <v>61</v>
      </c>
      <c r="AB97" s="1" t="s">
        <v>86</v>
      </c>
    </row>
    <row r="98" spans="1:28" x14ac:dyDescent="0.35">
      <c r="A98" s="1" t="s">
        <v>184</v>
      </c>
      <c r="B98" s="1">
        <v>53</v>
      </c>
      <c r="C98" s="1" t="str">
        <f>VLOOKUP(A98,[1]Export!$1:$1048576,6)</f>
        <v>Masculino</v>
      </c>
      <c r="D98" s="1" t="s">
        <v>230</v>
      </c>
      <c r="E98" s="1" t="s">
        <v>236</v>
      </c>
      <c r="F98" s="1">
        <v>17</v>
      </c>
      <c r="G98" s="1">
        <v>4</v>
      </c>
      <c r="H98" s="1">
        <v>3</v>
      </c>
      <c r="I98" s="1">
        <v>2</v>
      </c>
      <c r="J98" s="1">
        <v>3</v>
      </c>
      <c r="K98" s="1">
        <v>3</v>
      </c>
      <c r="L98" s="1">
        <v>3</v>
      </c>
      <c r="M98" s="1">
        <v>4</v>
      </c>
      <c r="N98" s="1">
        <v>3</v>
      </c>
      <c r="O98" s="1">
        <v>4</v>
      </c>
      <c r="P98" s="1">
        <v>3</v>
      </c>
      <c r="Q98" s="1">
        <v>2</v>
      </c>
      <c r="R98" s="1">
        <v>2</v>
      </c>
      <c r="S98" s="9">
        <f t="shared" si="7"/>
        <v>3</v>
      </c>
      <c r="T98" s="9">
        <f t="shared" si="8"/>
        <v>3</v>
      </c>
      <c r="U98" s="9">
        <f t="shared" si="9"/>
        <v>3.6666666666666665</v>
      </c>
      <c r="V98" s="9">
        <f t="shared" si="10"/>
        <v>2.3333333333333335</v>
      </c>
      <c r="W98" s="9">
        <f t="shared" si="11"/>
        <v>12</v>
      </c>
      <c r="X98" s="9">
        <f t="shared" si="12"/>
        <v>3</v>
      </c>
      <c r="Y98" s="1">
        <f t="shared" si="13"/>
        <v>2</v>
      </c>
      <c r="Z98" s="1">
        <v>2</v>
      </c>
      <c r="AA98" s="2" t="s">
        <v>62</v>
      </c>
      <c r="AB98" s="10" t="s">
        <v>84</v>
      </c>
    </row>
    <row r="99" spans="1:28" x14ac:dyDescent="0.35">
      <c r="A99" s="1" t="s">
        <v>185</v>
      </c>
      <c r="B99" s="1">
        <v>60</v>
      </c>
      <c r="C99" s="1" t="str">
        <f>VLOOKUP(A99,[1]Export!$1:$1048576,6)</f>
        <v>Masculino</v>
      </c>
      <c r="D99" s="1" t="s">
        <v>231</v>
      </c>
      <c r="E99" s="1" t="s">
        <v>242</v>
      </c>
      <c r="F99" s="1">
        <v>15</v>
      </c>
      <c r="G99" s="1">
        <v>3</v>
      </c>
      <c r="H99" s="1">
        <v>4</v>
      </c>
      <c r="I99" s="1">
        <v>3</v>
      </c>
      <c r="J99" s="1">
        <v>3</v>
      </c>
      <c r="K99" s="1">
        <v>3</v>
      </c>
      <c r="L99" s="1">
        <v>2</v>
      </c>
      <c r="M99" s="1">
        <v>2</v>
      </c>
      <c r="N99" s="1">
        <v>2</v>
      </c>
      <c r="O99" s="1">
        <v>3</v>
      </c>
      <c r="P99" s="1">
        <v>3</v>
      </c>
      <c r="Q99" s="1">
        <v>3</v>
      </c>
      <c r="R99" s="1">
        <v>4</v>
      </c>
      <c r="S99" s="9">
        <f t="shared" si="7"/>
        <v>3.3333333333333335</v>
      </c>
      <c r="T99" s="9">
        <f t="shared" si="8"/>
        <v>2.6666666666666665</v>
      </c>
      <c r="U99" s="9">
        <f t="shared" si="9"/>
        <v>2.3333333333333335</v>
      </c>
      <c r="V99" s="9">
        <f t="shared" si="10"/>
        <v>3.3333333333333335</v>
      </c>
      <c r="W99" s="9">
        <f t="shared" si="11"/>
        <v>11.666666666666668</v>
      </c>
      <c r="X99" s="9">
        <f t="shared" si="12"/>
        <v>2.916666666666667</v>
      </c>
      <c r="Y99" s="1">
        <f t="shared" si="13"/>
        <v>1</v>
      </c>
      <c r="Z99" s="1">
        <v>2</v>
      </c>
      <c r="AA99" s="2" t="s">
        <v>47</v>
      </c>
      <c r="AB99" s="1" t="s">
        <v>83</v>
      </c>
    </row>
    <row r="100" spans="1:28" x14ac:dyDescent="0.35">
      <c r="A100" s="1" t="s">
        <v>186</v>
      </c>
      <c r="B100" s="1">
        <v>47</v>
      </c>
      <c r="C100" s="1" t="str">
        <f>VLOOKUP(A100,[1]Export!$1:$1048576,6)</f>
        <v>Masculino</v>
      </c>
      <c r="D100" s="1" t="s">
        <v>232</v>
      </c>
      <c r="E100" s="1" t="s">
        <v>236</v>
      </c>
      <c r="F100" s="1">
        <v>15</v>
      </c>
      <c r="G100" s="1">
        <v>3</v>
      </c>
      <c r="H100" s="1">
        <v>4</v>
      </c>
      <c r="I100" s="1">
        <v>2</v>
      </c>
      <c r="J100" s="1">
        <v>4</v>
      </c>
      <c r="K100" s="1">
        <v>4</v>
      </c>
      <c r="L100" s="1">
        <v>4</v>
      </c>
      <c r="M100" s="1">
        <v>2</v>
      </c>
      <c r="N100" s="1">
        <v>3</v>
      </c>
      <c r="O100" s="1">
        <v>3</v>
      </c>
      <c r="P100" s="1">
        <v>3</v>
      </c>
      <c r="Q100" s="1">
        <v>3</v>
      </c>
      <c r="R100" s="1">
        <v>2</v>
      </c>
      <c r="S100" s="9">
        <f t="shared" si="7"/>
        <v>3</v>
      </c>
      <c r="T100" s="9">
        <f t="shared" si="8"/>
        <v>4</v>
      </c>
      <c r="U100" s="9">
        <f t="shared" si="9"/>
        <v>2.6666666666666665</v>
      </c>
      <c r="V100" s="9">
        <f t="shared" si="10"/>
        <v>2.6666666666666665</v>
      </c>
      <c r="W100" s="9">
        <f t="shared" si="11"/>
        <v>12.333333333333332</v>
      </c>
      <c r="X100" s="9">
        <f t="shared" si="12"/>
        <v>3.083333333333333</v>
      </c>
      <c r="Y100" s="1">
        <f t="shared" si="13"/>
        <v>2</v>
      </c>
      <c r="Z100" s="1">
        <v>2</v>
      </c>
      <c r="AA100" s="2" t="s">
        <v>12</v>
      </c>
      <c r="AB100" s="10" t="s">
        <v>84</v>
      </c>
    </row>
    <row r="101" spans="1:28" x14ac:dyDescent="0.35">
      <c r="A101" s="1" t="s">
        <v>187</v>
      </c>
      <c r="B101" s="1">
        <v>57</v>
      </c>
      <c r="C101" s="1" t="str">
        <f>VLOOKUP(A101,[1]Export!$1:$1048576,6)</f>
        <v>Masculino</v>
      </c>
      <c r="D101" s="1" t="s">
        <v>231</v>
      </c>
      <c r="E101" s="1" t="s">
        <v>242</v>
      </c>
      <c r="F101" s="1">
        <v>15</v>
      </c>
      <c r="G101" s="1">
        <v>3</v>
      </c>
      <c r="H101" s="1">
        <v>3</v>
      </c>
      <c r="I101" s="1">
        <v>3</v>
      </c>
      <c r="J101" s="1">
        <v>4</v>
      </c>
      <c r="K101" s="1">
        <v>2</v>
      </c>
      <c r="L101" s="1">
        <v>3</v>
      </c>
      <c r="M101" s="1">
        <v>2</v>
      </c>
      <c r="N101" s="1">
        <v>4</v>
      </c>
      <c r="O101" s="1">
        <v>2</v>
      </c>
      <c r="P101" s="1">
        <v>3</v>
      </c>
      <c r="Q101" s="1">
        <v>4</v>
      </c>
      <c r="R101" s="1">
        <v>4</v>
      </c>
      <c r="S101" s="9">
        <f t="shared" si="7"/>
        <v>3</v>
      </c>
      <c r="T101" s="9">
        <f t="shared" si="8"/>
        <v>3</v>
      </c>
      <c r="U101" s="9">
        <f t="shared" si="9"/>
        <v>2.6666666666666665</v>
      </c>
      <c r="V101" s="9">
        <f t="shared" si="10"/>
        <v>3.6666666666666665</v>
      </c>
      <c r="W101" s="9">
        <f t="shared" si="11"/>
        <v>12.333333333333332</v>
      </c>
      <c r="X101" s="9">
        <f t="shared" si="12"/>
        <v>3.083333333333333</v>
      </c>
      <c r="Y101" s="1">
        <f t="shared" si="13"/>
        <v>2</v>
      </c>
      <c r="Z101" s="1">
        <v>2</v>
      </c>
      <c r="AA101" s="2" t="s">
        <v>63</v>
      </c>
      <c r="AB101" s="10" t="s">
        <v>84</v>
      </c>
    </row>
    <row r="102" spans="1:28" x14ac:dyDescent="0.35">
      <c r="A102" s="1" t="s">
        <v>188</v>
      </c>
      <c r="B102" s="1">
        <v>49</v>
      </c>
      <c r="C102" s="1" t="str">
        <f>VLOOKUP(A102,[1]Export!$1:$1048576,6)</f>
        <v>Masculino</v>
      </c>
      <c r="D102" s="1" t="s">
        <v>230</v>
      </c>
      <c r="E102" s="1" t="s">
        <v>239</v>
      </c>
      <c r="F102" s="1">
        <v>0</v>
      </c>
      <c r="G102" s="1">
        <v>3</v>
      </c>
      <c r="H102" s="1">
        <v>2</v>
      </c>
      <c r="I102" s="1">
        <v>3</v>
      </c>
      <c r="J102" s="1">
        <v>2</v>
      </c>
      <c r="K102" s="1">
        <v>4</v>
      </c>
      <c r="L102" s="1">
        <v>4</v>
      </c>
      <c r="M102" s="1">
        <v>3</v>
      </c>
      <c r="N102" s="1">
        <v>3</v>
      </c>
      <c r="O102" s="1">
        <v>3</v>
      </c>
      <c r="P102" s="1">
        <v>2</v>
      </c>
      <c r="Q102" s="1">
        <v>4</v>
      </c>
      <c r="R102" s="1">
        <v>4</v>
      </c>
      <c r="S102" s="9">
        <f t="shared" si="7"/>
        <v>2.6666666666666665</v>
      </c>
      <c r="T102" s="9">
        <f t="shared" si="8"/>
        <v>3.3333333333333335</v>
      </c>
      <c r="U102" s="9">
        <f t="shared" si="9"/>
        <v>3</v>
      </c>
      <c r="V102" s="9">
        <f t="shared" si="10"/>
        <v>3.3333333333333335</v>
      </c>
      <c r="W102" s="9">
        <f t="shared" si="11"/>
        <v>12.333333333333334</v>
      </c>
      <c r="X102" s="9">
        <f t="shared" si="12"/>
        <v>3.0833333333333335</v>
      </c>
      <c r="Y102" s="1">
        <f t="shared" si="13"/>
        <v>2</v>
      </c>
      <c r="Z102" s="1">
        <v>2</v>
      </c>
      <c r="AA102" s="2" t="s">
        <v>64</v>
      </c>
      <c r="AB102" s="10" t="s">
        <v>84</v>
      </c>
    </row>
    <row r="103" spans="1:28" x14ac:dyDescent="0.35">
      <c r="A103" s="1" t="s">
        <v>189</v>
      </c>
      <c r="B103" s="1">
        <v>50</v>
      </c>
      <c r="C103" s="1" t="str">
        <f>VLOOKUP(A103,[1]Export!$1:$1048576,6)</f>
        <v>Masculino</v>
      </c>
      <c r="D103" s="1" t="s">
        <v>231</v>
      </c>
      <c r="E103" s="1" t="s">
        <v>238</v>
      </c>
      <c r="F103" s="1">
        <v>13</v>
      </c>
      <c r="G103" s="1">
        <v>5</v>
      </c>
      <c r="H103" s="1">
        <v>5</v>
      </c>
      <c r="I103" s="1">
        <v>5</v>
      </c>
      <c r="J103" s="1">
        <v>4</v>
      </c>
      <c r="K103" s="1">
        <v>4</v>
      </c>
      <c r="L103" s="1">
        <v>5</v>
      </c>
      <c r="M103" s="1">
        <v>4</v>
      </c>
      <c r="N103" s="1">
        <v>4</v>
      </c>
      <c r="O103" s="1">
        <v>4</v>
      </c>
      <c r="P103" s="1">
        <v>4</v>
      </c>
      <c r="Q103" s="1">
        <v>4</v>
      </c>
      <c r="R103" s="1">
        <v>5</v>
      </c>
      <c r="S103" s="9">
        <f t="shared" si="7"/>
        <v>5</v>
      </c>
      <c r="T103" s="9">
        <f t="shared" si="8"/>
        <v>4.333333333333333</v>
      </c>
      <c r="U103" s="9">
        <f t="shared" si="9"/>
        <v>4</v>
      </c>
      <c r="V103" s="9">
        <f t="shared" si="10"/>
        <v>4.333333333333333</v>
      </c>
      <c r="W103" s="9">
        <f t="shared" si="11"/>
        <v>17.666666666666664</v>
      </c>
      <c r="X103" s="9">
        <f t="shared" si="12"/>
        <v>4.4166666666666661</v>
      </c>
      <c r="Y103" s="1">
        <f t="shared" si="13"/>
        <v>3</v>
      </c>
      <c r="Z103" s="1">
        <v>2</v>
      </c>
      <c r="AA103" s="2" t="s">
        <v>65</v>
      </c>
      <c r="AB103" s="1" t="s">
        <v>86</v>
      </c>
    </row>
    <row r="104" spans="1:28" x14ac:dyDescent="0.35">
      <c r="A104" s="1" t="s">
        <v>190</v>
      </c>
      <c r="B104" s="1">
        <v>43</v>
      </c>
      <c r="C104" s="1" t="str">
        <f>VLOOKUP(A104,[1]Export!$1:$1048576,6)</f>
        <v>Femenino</v>
      </c>
      <c r="D104" s="1" t="s">
        <v>233</v>
      </c>
      <c r="E104" s="1" t="s">
        <v>239</v>
      </c>
      <c r="F104" s="1">
        <v>13</v>
      </c>
      <c r="G104" s="1">
        <v>2</v>
      </c>
      <c r="H104" s="1">
        <v>2</v>
      </c>
      <c r="I104" s="1">
        <v>3</v>
      </c>
      <c r="J104" s="1">
        <v>4</v>
      </c>
      <c r="K104" s="1">
        <v>4</v>
      </c>
      <c r="L104" s="1">
        <v>2</v>
      </c>
      <c r="M104" s="1">
        <v>4</v>
      </c>
      <c r="N104" s="1">
        <v>2</v>
      </c>
      <c r="O104" s="1">
        <v>4</v>
      </c>
      <c r="P104" s="1">
        <v>2</v>
      </c>
      <c r="Q104" s="1">
        <v>2</v>
      </c>
      <c r="R104" s="1">
        <v>2</v>
      </c>
      <c r="S104" s="9">
        <f t="shared" si="7"/>
        <v>2.3333333333333335</v>
      </c>
      <c r="T104" s="9">
        <f t="shared" si="8"/>
        <v>3.3333333333333335</v>
      </c>
      <c r="U104" s="9">
        <f t="shared" si="9"/>
        <v>3.3333333333333335</v>
      </c>
      <c r="V104" s="9">
        <f t="shared" si="10"/>
        <v>2</v>
      </c>
      <c r="W104" s="9">
        <f t="shared" si="11"/>
        <v>11</v>
      </c>
      <c r="X104" s="9">
        <f t="shared" si="12"/>
        <v>2.75</v>
      </c>
      <c r="Y104" s="1">
        <f t="shared" si="13"/>
        <v>1</v>
      </c>
      <c r="Z104" s="1">
        <v>2</v>
      </c>
      <c r="AA104" s="2" t="s">
        <v>66</v>
      </c>
      <c r="AB104" s="1" t="s">
        <v>83</v>
      </c>
    </row>
    <row r="105" spans="1:28" x14ac:dyDescent="0.35">
      <c r="A105" s="1" t="s">
        <v>191</v>
      </c>
      <c r="B105" s="1">
        <v>52</v>
      </c>
      <c r="C105" s="1" t="str">
        <f>VLOOKUP(A105,[1]Export!$1:$1048576,6)</f>
        <v>Masculino</v>
      </c>
      <c r="D105" s="1" t="s">
        <v>232</v>
      </c>
      <c r="E105" s="1" t="s">
        <v>236</v>
      </c>
      <c r="F105" s="1">
        <v>14</v>
      </c>
      <c r="G105" s="1">
        <v>2</v>
      </c>
      <c r="H105" s="1">
        <v>4</v>
      </c>
      <c r="I105" s="1">
        <v>2</v>
      </c>
      <c r="J105" s="1">
        <v>3</v>
      </c>
      <c r="K105" s="1">
        <v>4</v>
      </c>
      <c r="L105" s="1">
        <v>3</v>
      </c>
      <c r="M105" s="1">
        <v>2</v>
      </c>
      <c r="N105" s="1">
        <v>3</v>
      </c>
      <c r="O105" s="1">
        <v>4</v>
      </c>
      <c r="P105" s="1">
        <v>3</v>
      </c>
      <c r="Q105" s="1">
        <v>3</v>
      </c>
      <c r="R105" s="1">
        <v>4</v>
      </c>
      <c r="S105" s="9">
        <f t="shared" si="7"/>
        <v>2.6666666666666665</v>
      </c>
      <c r="T105" s="9">
        <f t="shared" si="8"/>
        <v>3.3333333333333335</v>
      </c>
      <c r="U105" s="9">
        <f t="shared" si="9"/>
        <v>3</v>
      </c>
      <c r="V105" s="9">
        <f t="shared" si="10"/>
        <v>3.3333333333333335</v>
      </c>
      <c r="W105" s="9">
        <f t="shared" si="11"/>
        <v>12.333333333333334</v>
      </c>
      <c r="X105" s="9">
        <f t="shared" si="12"/>
        <v>3.0833333333333335</v>
      </c>
      <c r="Y105" s="1">
        <f t="shared" si="13"/>
        <v>2</v>
      </c>
      <c r="Z105" s="1">
        <v>2</v>
      </c>
      <c r="AA105" s="2" t="s">
        <v>36</v>
      </c>
      <c r="AB105" s="10" t="s">
        <v>84</v>
      </c>
    </row>
    <row r="106" spans="1:28" x14ac:dyDescent="0.35">
      <c r="A106" s="1" t="s">
        <v>192</v>
      </c>
      <c r="B106" s="1">
        <v>37</v>
      </c>
      <c r="C106" s="1" t="str">
        <f>VLOOKUP(A106,[1]Export!$1:$1048576,6)</f>
        <v>Masculino</v>
      </c>
      <c r="D106" s="1" t="s">
        <v>232</v>
      </c>
      <c r="E106" s="1" t="s">
        <v>238</v>
      </c>
      <c r="F106" s="1">
        <v>13</v>
      </c>
      <c r="G106" s="1">
        <v>1</v>
      </c>
      <c r="H106" s="1">
        <v>1</v>
      </c>
      <c r="I106" s="1">
        <v>2</v>
      </c>
      <c r="J106" s="1">
        <v>2</v>
      </c>
      <c r="K106" s="1">
        <v>1</v>
      </c>
      <c r="L106" s="1">
        <v>2</v>
      </c>
      <c r="M106" s="1">
        <v>1</v>
      </c>
      <c r="N106" s="1">
        <v>2</v>
      </c>
      <c r="O106" s="1">
        <v>2</v>
      </c>
      <c r="P106" s="1">
        <v>1</v>
      </c>
      <c r="Q106" s="1">
        <v>2</v>
      </c>
      <c r="R106" s="1">
        <v>2</v>
      </c>
      <c r="S106" s="9">
        <f t="shared" si="7"/>
        <v>1.3333333333333333</v>
      </c>
      <c r="T106" s="9">
        <f t="shared" si="8"/>
        <v>1.6666666666666667</v>
      </c>
      <c r="U106" s="9">
        <f t="shared" si="9"/>
        <v>1.6666666666666667</v>
      </c>
      <c r="V106" s="9">
        <f t="shared" si="10"/>
        <v>1.6666666666666667</v>
      </c>
      <c r="W106" s="9">
        <f t="shared" si="11"/>
        <v>6.3333333333333339</v>
      </c>
      <c r="X106" s="9">
        <f t="shared" si="12"/>
        <v>1.5833333333333335</v>
      </c>
      <c r="Y106" s="1">
        <f t="shared" si="13"/>
        <v>1</v>
      </c>
      <c r="Z106" s="1">
        <v>2</v>
      </c>
      <c r="AA106" s="2" t="s">
        <v>53</v>
      </c>
      <c r="AB106" s="1" t="s">
        <v>83</v>
      </c>
    </row>
    <row r="107" spans="1:28" x14ac:dyDescent="0.35">
      <c r="A107" s="1" t="s">
        <v>193</v>
      </c>
      <c r="B107" s="1">
        <v>37</v>
      </c>
      <c r="C107" s="1" t="str">
        <f>VLOOKUP(A107,[1]Export!$1:$1048576,6)</f>
        <v>Masculino</v>
      </c>
      <c r="D107" s="1" t="s">
        <v>232</v>
      </c>
      <c r="E107" s="1" t="s">
        <v>240</v>
      </c>
      <c r="F107" s="1">
        <v>2</v>
      </c>
      <c r="G107" s="1">
        <v>2</v>
      </c>
      <c r="H107" s="1">
        <v>3</v>
      </c>
      <c r="I107" s="1">
        <v>3</v>
      </c>
      <c r="J107" s="1">
        <v>4</v>
      </c>
      <c r="K107" s="1">
        <v>4</v>
      </c>
      <c r="L107" s="1">
        <v>3</v>
      </c>
      <c r="M107" s="1">
        <v>2</v>
      </c>
      <c r="N107" s="1">
        <v>3</v>
      </c>
      <c r="O107" s="1">
        <v>3</v>
      </c>
      <c r="P107" s="1">
        <v>4</v>
      </c>
      <c r="Q107" s="1">
        <v>2</v>
      </c>
      <c r="R107" s="1">
        <v>4</v>
      </c>
      <c r="S107" s="9">
        <f t="shared" si="7"/>
        <v>2.6666666666666665</v>
      </c>
      <c r="T107" s="9">
        <f t="shared" si="8"/>
        <v>3.6666666666666665</v>
      </c>
      <c r="U107" s="9">
        <f t="shared" si="9"/>
        <v>2.6666666666666665</v>
      </c>
      <c r="V107" s="9">
        <f t="shared" si="10"/>
        <v>3.3333333333333335</v>
      </c>
      <c r="W107" s="9">
        <f t="shared" si="11"/>
        <v>12.333333333333334</v>
      </c>
      <c r="X107" s="9">
        <f t="shared" si="12"/>
        <v>3.0833333333333335</v>
      </c>
      <c r="Y107" s="1">
        <f t="shared" si="13"/>
        <v>2</v>
      </c>
      <c r="Z107" s="1">
        <v>2</v>
      </c>
      <c r="AA107" s="2" t="s">
        <v>36</v>
      </c>
      <c r="AB107" s="10" t="s">
        <v>84</v>
      </c>
    </row>
    <row r="108" spans="1:28" x14ac:dyDescent="0.35">
      <c r="A108" s="1" t="s">
        <v>194</v>
      </c>
      <c r="B108" s="1">
        <v>46</v>
      </c>
      <c r="C108" s="1" t="str">
        <f>VLOOKUP(A108,[1]Export!$1:$1048576,6)</f>
        <v>Masculino</v>
      </c>
      <c r="D108" s="1" t="s">
        <v>233</v>
      </c>
      <c r="E108" s="1" t="s">
        <v>236</v>
      </c>
      <c r="F108" s="1">
        <v>13</v>
      </c>
      <c r="G108" s="1">
        <v>2</v>
      </c>
      <c r="H108" s="1">
        <v>2</v>
      </c>
      <c r="I108" s="1">
        <v>1</v>
      </c>
      <c r="J108" s="1">
        <v>2</v>
      </c>
      <c r="K108" s="1">
        <v>2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2</v>
      </c>
      <c r="S108" s="9">
        <f t="shared" si="7"/>
        <v>1.6666666666666667</v>
      </c>
      <c r="T108" s="9">
        <f t="shared" si="8"/>
        <v>1.6666666666666667</v>
      </c>
      <c r="U108" s="9">
        <f t="shared" si="9"/>
        <v>1</v>
      </c>
      <c r="V108" s="9">
        <f t="shared" si="10"/>
        <v>1.3333333333333333</v>
      </c>
      <c r="W108" s="9">
        <f t="shared" si="11"/>
        <v>5.666666666666667</v>
      </c>
      <c r="X108" s="9">
        <f t="shared" si="12"/>
        <v>1.4166666666666667</v>
      </c>
      <c r="Y108" s="1">
        <f t="shared" si="13"/>
        <v>1</v>
      </c>
      <c r="Z108" s="1">
        <v>2</v>
      </c>
      <c r="AA108" s="2" t="s">
        <v>29</v>
      </c>
      <c r="AB108" s="1" t="s">
        <v>83</v>
      </c>
    </row>
    <row r="109" spans="1:28" x14ac:dyDescent="0.35">
      <c r="A109" s="1" t="s">
        <v>195</v>
      </c>
      <c r="B109" s="1">
        <v>49</v>
      </c>
      <c r="C109" s="1" t="str">
        <f>VLOOKUP(A109,[1]Export!$1:$1048576,6)</f>
        <v>Masculino</v>
      </c>
      <c r="D109" s="1" t="s">
        <v>231</v>
      </c>
      <c r="E109" s="1" t="s">
        <v>238</v>
      </c>
      <c r="F109" s="1">
        <v>13</v>
      </c>
      <c r="G109" s="1">
        <v>3</v>
      </c>
      <c r="H109" s="1">
        <v>4</v>
      </c>
      <c r="I109" s="1">
        <v>2</v>
      </c>
      <c r="J109" s="1">
        <v>2</v>
      </c>
      <c r="K109" s="1">
        <v>2</v>
      </c>
      <c r="L109" s="1">
        <v>4</v>
      </c>
      <c r="M109" s="1">
        <v>3</v>
      </c>
      <c r="N109" s="1">
        <v>2</v>
      </c>
      <c r="O109" s="1">
        <v>4</v>
      </c>
      <c r="P109" s="1">
        <v>3</v>
      </c>
      <c r="Q109" s="1">
        <v>2</v>
      </c>
      <c r="R109" s="1">
        <v>3</v>
      </c>
      <c r="S109" s="9">
        <f t="shared" si="7"/>
        <v>3</v>
      </c>
      <c r="T109" s="9">
        <f t="shared" si="8"/>
        <v>2.6666666666666665</v>
      </c>
      <c r="U109" s="9">
        <f t="shared" si="9"/>
        <v>3</v>
      </c>
      <c r="V109" s="9">
        <f t="shared" si="10"/>
        <v>2.6666666666666665</v>
      </c>
      <c r="W109" s="9">
        <f t="shared" si="11"/>
        <v>11.333333333333332</v>
      </c>
      <c r="X109" s="9">
        <f t="shared" si="12"/>
        <v>2.833333333333333</v>
      </c>
      <c r="Y109" s="1">
        <f t="shared" si="13"/>
        <v>1</v>
      </c>
      <c r="Z109" s="1">
        <v>2</v>
      </c>
      <c r="AA109" s="2" t="s">
        <v>56</v>
      </c>
      <c r="AB109" s="1" t="s">
        <v>83</v>
      </c>
    </row>
    <row r="110" spans="1:28" x14ac:dyDescent="0.35">
      <c r="A110" s="1" t="s">
        <v>196</v>
      </c>
      <c r="B110" s="1">
        <v>47</v>
      </c>
      <c r="C110" s="1" t="str">
        <f>VLOOKUP(A110,[1]Export!$1:$1048576,6)</f>
        <v>Masculino</v>
      </c>
      <c r="D110" s="1" t="s">
        <v>231</v>
      </c>
      <c r="E110" s="1" t="s">
        <v>236</v>
      </c>
      <c r="F110" s="1">
        <v>13</v>
      </c>
      <c r="G110" s="1">
        <v>5</v>
      </c>
      <c r="H110" s="1">
        <v>5</v>
      </c>
      <c r="I110" s="1">
        <v>4</v>
      </c>
      <c r="J110" s="1">
        <v>5</v>
      </c>
      <c r="K110" s="1">
        <v>5</v>
      </c>
      <c r="L110" s="1">
        <v>4</v>
      </c>
      <c r="M110" s="1">
        <v>4</v>
      </c>
      <c r="N110" s="1">
        <v>5</v>
      </c>
      <c r="O110" s="1">
        <v>5</v>
      </c>
      <c r="P110" s="1">
        <v>5</v>
      </c>
      <c r="Q110" s="1">
        <v>4</v>
      </c>
      <c r="R110" s="1">
        <v>4</v>
      </c>
      <c r="S110" s="9">
        <f t="shared" si="7"/>
        <v>4.666666666666667</v>
      </c>
      <c r="T110" s="9">
        <f t="shared" si="8"/>
        <v>4.666666666666667</v>
      </c>
      <c r="U110" s="9">
        <f t="shared" si="9"/>
        <v>4.666666666666667</v>
      </c>
      <c r="V110" s="9">
        <f t="shared" si="10"/>
        <v>4.333333333333333</v>
      </c>
      <c r="W110" s="9">
        <f t="shared" si="11"/>
        <v>18.333333333333332</v>
      </c>
      <c r="X110" s="9">
        <f t="shared" si="12"/>
        <v>4.583333333333333</v>
      </c>
      <c r="Y110" s="1">
        <f t="shared" si="13"/>
        <v>3</v>
      </c>
      <c r="Z110" s="1">
        <v>2</v>
      </c>
      <c r="AA110" s="2" t="s">
        <v>11</v>
      </c>
      <c r="AB110" s="1" t="s">
        <v>86</v>
      </c>
    </row>
    <row r="111" spans="1:28" x14ac:dyDescent="0.35">
      <c r="A111" s="1" t="s">
        <v>197</v>
      </c>
      <c r="B111" s="1">
        <v>53</v>
      </c>
      <c r="C111" s="1" t="str">
        <f>VLOOKUP(A111,[1]Export!$1:$1048576,6)</f>
        <v>Masculino</v>
      </c>
      <c r="D111" s="1" t="s">
        <v>231</v>
      </c>
      <c r="E111" s="1" t="s">
        <v>238</v>
      </c>
      <c r="F111" s="1">
        <v>12</v>
      </c>
      <c r="G111" s="1">
        <v>3</v>
      </c>
      <c r="H111" s="1">
        <v>2</v>
      </c>
      <c r="I111" s="1">
        <v>3</v>
      </c>
      <c r="J111" s="1">
        <v>3</v>
      </c>
      <c r="K111" s="1">
        <v>4</v>
      </c>
      <c r="L111" s="1">
        <v>4</v>
      </c>
      <c r="M111" s="1">
        <v>4</v>
      </c>
      <c r="N111" s="1">
        <v>3</v>
      </c>
      <c r="O111" s="1">
        <v>3</v>
      </c>
      <c r="P111" s="1">
        <v>4</v>
      </c>
      <c r="Q111" s="1">
        <v>2</v>
      </c>
      <c r="R111" s="1">
        <v>3</v>
      </c>
      <c r="S111" s="9">
        <f t="shared" si="7"/>
        <v>2.6666666666666665</v>
      </c>
      <c r="T111" s="9">
        <f t="shared" si="8"/>
        <v>3.6666666666666665</v>
      </c>
      <c r="U111" s="9">
        <f t="shared" si="9"/>
        <v>3.3333333333333335</v>
      </c>
      <c r="V111" s="9">
        <f t="shared" si="10"/>
        <v>3</v>
      </c>
      <c r="W111" s="9">
        <f t="shared" si="11"/>
        <v>12.666666666666666</v>
      </c>
      <c r="X111" s="9">
        <f t="shared" si="12"/>
        <v>3.1666666666666665</v>
      </c>
      <c r="Y111" s="1">
        <f t="shared" si="13"/>
        <v>2</v>
      </c>
      <c r="Z111" s="1">
        <v>2</v>
      </c>
      <c r="AA111" s="2" t="s">
        <v>67</v>
      </c>
      <c r="AB111" s="10" t="s">
        <v>84</v>
      </c>
    </row>
    <row r="112" spans="1:28" x14ac:dyDescent="0.35">
      <c r="A112" s="1" t="s">
        <v>198</v>
      </c>
      <c r="B112" s="1">
        <v>54</v>
      </c>
      <c r="C112" s="1" t="str">
        <f>VLOOKUP(A112,[1]Export!$1:$1048576,6)</f>
        <v>Masculino</v>
      </c>
      <c r="D112" s="1" t="s">
        <v>231</v>
      </c>
      <c r="E112" s="1" t="s">
        <v>241</v>
      </c>
      <c r="F112" s="1">
        <v>11</v>
      </c>
      <c r="G112" s="1">
        <v>4</v>
      </c>
      <c r="H112" s="1">
        <v>4</v>
      </c>
      <c r="I112" s="1">
        <v>3</v>
      </c>
      <c r="J112" s="1">
        <v>4</v>
      </c>
      <c r="K112" s="1">
        <v>2</v>
      </c>
      <c r="L112" s="1">
        <v>4</v>
      </c>
      <c r="M112" s="1">
        <v>4</v>
      </c>
      <c r="N112" s="1">
        <v>2</v>
      </c>
      <c r="O112" s="1">
        <v>4</v>
      </c>
      <c r="P112" s="1">
        <v>2</v>
      </c>
      <c r="Q112" s="1">
        <v>4</v>
      </c>
      <c r="R112" s="1">
        <v>3</v>
      </c>
      <c r="S112" s="9">
        <f t="shared" si="7"/>
        <v>3.6666666666666665</v>
      </c>
      <c r="T112" s="9">
        <f t="shared" si="8"/>
        <v>3.3333333333333335</v>
      </c>
      <c r="U112" s="9">
        <f t="shared" si="9"/>
        <v>3.3333333333333335</v>
      </c>
      <c r="V112" s="9">
        <f t="shared" si="10"/>
        <v>3</v>
      </c>
      <c r="W112" s="9">
        <f t="shared" si="11"/>
        <v>13.333333333333334</v>
      </c>
      <c r="X112" s="9">
        <f t="shared" si="12"/>
        <v>3.3333333333333335</v>
      </c>
      <c r="Y112" s="1">
        <f t="shared" si="13"/>
        <v>2</v>
      </c>
      <c r="Z112" s="1">
        <v>2</v>
      </c>
      <c r="AA112" s="2" t="s">
        <v>13</v>
      </c>
      <c r="AB112" s="10" t="s">
        <v>84</v>
      </c>
    </row>
    <row r="113" spans="1:28" x14ac:dyDescent="0.35">
      <c r="A113" s="1" t="s">
        <v>199</v>
      </c>
      <c r="B113" s="1">
        <v>44</v>
      </c>
      <c r="C113" s="1" t="str">
        <f>VLOOKUP(A113,[1]Export!$1:$1048576,6)</f>
        <v>Masculino</v>
      </c>
      <c r="D113" s="1" t="s">
        <v>232</v>
      </c>
      <c r="E113" s="1" t="s">
        <v>236</v>
      </c>
      <c r="F113" s="1">
        <v>13</v>
      </c>
      <c r="G113" s="1">
        <v>2</v>
      </c>
      <c r="H113" s="1">
        <v>1</v>
      </c>
      <c r="I113" s="1">
        <v>2</v>
      </c>
      <c r="J113" s="1">
        <v>1</v>
      </c>
      <c r="K113" s="1">
        <v>1</v>
      </c>
      <c r="L113" s="1">
        <v>1</v>
      </c>
      <c r="M113" s="1">
        <v>1</v>
      </c>
      <c r="N113" s="1">
        <v>2</v>
      </c>
      <c r="O113" s="1">
        <v>1</v>
      </c>
      <c r="P113" s="1">
        <v>2</v>
      </c>
      <c r="Q113" s="1">
        <v>2</v>
      </c>
      <c r="R113" s="1">
        <v>1</v>
      </c>
      <c r="S113" s="9">
        <f t="shared" si="7"/>
        <v>1.6666666666666667</v>
      </c>
      <c r="T113" s="9">
        <f t="shared" si="8"/>
        <v>1</v>
      </c>
      <c r="U113" s="9">
        <f t="shared" si="9"/>
        <v>1.3333333333333333</v>
      </c>
      <c r="V113" s="9">
        <f t="shared" si="10"/>
        <v>1.6666666666666667</v>
      </c>
      <c r="W113" s="9">
        <f t="shared" si="11"/>
        <v>5.666666666666667</v>
      </c>
      <c r="X113" s="9">
        <f t="shared" si="12"/>
        <v>1.4166666666666667</v>
      </c>
      <c r="Y113" s="1">
        <f t="shared" si="13"/>
        <v>1</v>
      </c>
      <c r="Z113" s="1">
        <v>2</v>
      </c>
      <c r="AA113" s="2" t="s">
        <v>40</v>
      </c>
      <c r="AB113" s="1" t="s">
        <v>83</v>
      </c>
    </row>
    <row r="114" spans="1:28" x14ac:dyDescent="0.35">
      <c r="A114" s="1" t="s">
        <v>200</v>
      </c>
      <c r="B114" s="1">
        <v>40</v>
      </c>
      <c r="C114" s="1" t="str">
        <f>VLOOKUP(A114,[1]Export!$1:$1048576,6)</f>
        <v>Masculino</v>
      </c>
      <c r="D114" s="1" t="s">
        <v>230</v>
      </c>
      <c r="E114" s="1" t="s">
        <v>236</v>
      </c>
      <c r="F114" s="1">
        <v>12</v>
      </c>
      <c r="G114" s="1">
        <v>2</v>
      </c>
      <c r="H114" s="1">
        <v>1</v>
      </c>
      <c r="I114" s="1">
        <v>2</v>
      </c>
      <c r="J114" s="1">
        <v>1</v>
      </c>
      <c r="K114" s="1">
        <v>2</v>
      </c>
      <c r="L114" s="1">
        <v>1</v>
      </c>
      <c r="M114" s="1">
        <v>1</v>
      </c>
      <c r="N114" s="1">
        <v>2</v>
      </c>
      <c r="O114" s="1">
        <v>1</v>
      </c>
      <c r="P114" s="1">
        <v>2</v>
      </c>
      <c r="Q114" s="1">
        <v>1</v>
      </c>
      <c r="R114" s="1">
        <v>1</v>
      </c>
      <c r="S114" s="9">
        <f t="shared" si="7"/>
        <v>1.6666666666666667</v>
      </c>
      <c r="T114" s="9">
        <f t="shared" si="8"/>
        <v>1.3333333333333333</v>
      </c>
      <c r="U114" s="9">
        <f t="shared" si="9"/>
        <v>1.3333333333333333</v>
      </c>
      <c r="V114" s="9">
        <f t="shared" si="10"/>
        <v>1.3333333333333333</v>
      </c>
      <c r="W114" s="9">
        <f t="shared" si="11"/>
        <v>5.6666666666666661</v>
      </c>
      <c r="X114" s="9">
        <f t="shared" si="12"/>
        <v>1.4166666666666665</v>
      </c>
      <c r="Y114" s="1">
        <f t="shared" si="13"/>
        <v>1</v>
      </c>
      <c r="Z114" s="1">
        <v>2</v>
      </c>
      <c r="AA114" s="2" t="s">
        <v>68</v>
      </c>
      <c r="AB114" s="1" t="s">
        <v>83</v>
      </c>
    </row>
    <row r="115" spans="1:28" x14ac:dyDescent="0.35">
      <c r="A115" s="1" t="s">
        <v>201</v>
      </c>
      <c r="B115" s="1">
        <v>43</v>
      </c>
      <c r="C115" s="1" t="str">
        <f>VLOOKUP(A115,[1]Export!$1:$1048576,6)</f>
        <v>Masculino</v>
      </c>
      <c r="D115" s="1" t="s">
        <v>231</v>
      </c>
      <c r="E115" s="1" t="s">
        <v>236</v>
      </c>
      <c r="F115" s="1">
        <v>0</v>
      </c>
      <c r="G115" s="1">
        <v>2</v>
      </c>
      <c r="H115" s="1">
        <v>2</v>
      </c>
      <c r="I115" s="1">
        <v>3</v>
      </c>
      <c r="J115" s="1">
        <v>2</v>
      </c>
      <c r="K115" s="1">
        <v>3</v>
      </c>
      <c r="L115" s="1">
        <v>3</v>
      </c>
      <c r="M115" s="1">
        <v>3</v>
      </c>
      <c r="N115" s="1">
        <v>3</v>
      </c>
      <c r="O115" s="1">
        <v>3</v>
      </c>
      <c r="P115" s="1">
        <v>3</v>
      </c>
      <c r="Q115" s="1">
        <v>2</v>
      </c>
      <c r="R115" s="1">
        <v>2</v>
      </c>
      <c r="S115" s="9">
        <f t="shared" si="7"/>
        <v>2.3333333333333335</v>
      </c>
      <c r="T115" s="9">
        <f t="shared" si="8"/>
        <v>2.6666666666666665</v>
      </c>
      <c r="U115" s="9">
        <f t="shared" si="9"/>
        <v>3</v>
      </c>
      <c r="V115" s="9">
        <f t="shared" si="10"/>
        <v>2.3333333333333335</v>
      </c>
      <c r="W115" s="9">
        <f t="shared" si="11"/>
        <v>10.333333333333334</v>
      </c>
      <c r="X115" s="9">
        <f t="shared" si="12"/>
        <v>2.5833333333333335</v>
      </c>
      <c r="Y115" s="1">
        <f t="shared" si="13"/>
        <v>1</v>
      </c>
      <c r="Z115" s="1">
        <v>2</v>
      </c>
      <c r="AA115" s="2" t="s">
        <v>69</v>
      </c>
      <c r="AB115" s="1" t="s">
        <v>83</v>
      </c>
    </row>
    <row r="116" spans="1:28" x14ac:dyDescent="0.35">
      <c r="A116" s="1" t="s">
        <v>202</v>
      </c>
      <c r="B116" s="1">
        <v>66</v>
      </c>
      <c r="C116" s="1" t="str">
        <f>VLOOKUP(A116,[1]Export!$1:$1048576,6)</f>
        <v>Masculino</v>
      </c>
      <c r="D116" s="1" t="s">
        <v>231</v>
      </c>
      <c r="E116" s="1" t="s">
        <v>239</v>
      </c>
      <c r="F116" s="1">
        <v>12</v>
      </c>
      <c r="G116" s="1">
        <v>4</v>
      </c>
      <c r="H116" s="1">
        <v>3</v>
      </c>
      <c r="I116" s="1">
        <v>3</v>
      </c>
      <c r="J116" s="1">
        <v>2</v>
      </c>
      <c r="K116" s="1">
        <v>4</v>
      </c>
      <c r="L116" s="1">
        <v>2</v>
      </c>
      <c r="M116" s="1">
        <v>4</v>
      </c>
      <c r="N116" s="1">
        <v>3</v>
      </c>
      <c r="O116" s="1">
        <v>3</v>
      </c>
      <c r="P116" s="1">
        <v>2</v>
      </c>
      <c r="Q116" s="1">
        <v>3</v>
      </c>
      <c r="R116" s="1">
        <v>4</v>
      </c>
      <c r="S116" s="9">
        <f t="shared" si="7"/>
        <v>3.3333333333333335</v>
      </c>
      <c r="T116" s="9">
        <f t="shared" si="8"/>
        <v>2.6666666666666665</v>
      </c>
      <c r="U116" s="9">
        <f t="shared" si="9"/>
        <v>3.3333333333333335</v>
      </c>
      <c r="V116" s="9">
        <f t="shared" si="10"/>
        <v>3</v>
      </c>
      <c r="W116" s="9">
        <f t="shared" si="11"/>
        <v>12.333333333333334</v>
      </c>
      <c r="X116" s="9">
        <f t="shared" si="12"/>
        <v>3.0833333333333335</v>
      </c>
      <c r="Y116" s="1">
        <f t="shared" si="13"/>
        <v>2</v>
      </c>
      <c r="Z116" s="1">
        <v>2</v>
      </c>
      <c r="AA116" s="2" t="s">
        <v>30</v>
      </c>
      <c r="AB116" s="10" t="s">
        <v>84</v>
      </c>
    </row>
    <row r="117" spans="1:28" x14ac:dyDescent="0.35">
      <c r="A117" s="1" t="s">
        <v>203</v>
      </c>
      <c r="B117" s="1">
        <v>57</v>
      </c>
      <c r="C117" s="1" t="str">
        <f>VLOOKUP(A117,[1]Export!$1:$1048576,6)</f>
        <v>Masculino</v>
      </c>
      <c r="D117" s="1" t="s">
        <v>231</v>
      </c>
      <c r="E117" s="1" t="s">
        <v>239</v>
      </c>
      <c r="F117" s="1">
        <v>12</v>
      </c>
      <c r="G117" s="1">
        <v>5</v>
      </c>
      <c r="H117" s="1">
        <v>5</v>
      </c>
      <c r="I117" s="1">
        <v>5</v>
      </c>
      <c r="J117" s="1">
        <v>4</v>
      </c>
      <c r="K117" s="1">
        <v>4</v>
      </c>
      <c r="L117" s="1">
        <v>5</v>
      </c>
      <c r="M117" s="1">
        <v>5</v>
      </c>
      <c r="N117" s="1">
        <v>4</v>
      </c>
      <c r="O117" s="1">
        <v>4</v>
      </c>
      <c r="P117" s="1">
        <v>4</v>
      </c>
      <c r="Q117" s="1">
        <v>5</v>
      </c>
      <c r="R117" s="1">
        <v>4</v>
      </c>
      <c r="S117" s="9">
        <f t="shared" si="7"/>
        <v>5</v>
      </c>
      <c r="T117" s="9">
        <f t="shared" si="8"/>
        <v>4.333333333333333</v>
      </c>
      <c r="U117" s="9">
        <f t="shared" si="9"/>
        <v>4.333333333333333</v>
      </c>
      <c r="V117" s="9">
        <f t="shared" si="10"/>
        <v>4.333333333333333</v>
      </c>
      <c r="W117" s="9">
        <f t="shared" si="11"/>
        <v>17.999999999999996</v>
      </c>
      <c r="X117" s="9">
        <f t="shared" si="12"/>
        <v>4.4999999999999991</v>
      </c>
      <c r="Y117" s="1">
        <f t="shared" si="13"/>
        <v>3</v>
      </c>
      <c r="Z117" s="1">
        <v>2</v>
      </c>
      <c r="AA117" s="2" t="s">
        <v>28</v>
      </c>
      <c r="AB117" s="1" t="s">
        <v>86</v>
      </c>
    </row>
    <row r="118" spans="1:28" x14ac:dyDescent="0.35">
      <c r="A118" s="1" t="s">
        <v>204</v>
      </c>
      <c r="B118" s="1">
        <v>45</v>
      </c>
      <c r="C118" s="1" t="str">
        <f>VLOOKUP(A118,[1]Export!$1:$1048576,6)</f>
        <v>Masculino</v>
      </c>
      <c r="D118" s="1" t="s">
        <v>230</v>
      </c>
      <c r="E118" s="1" t="s">
        <v>236</v>
      </c>
      <c r="F118" s="1">
        <v>0</v>
      </c>
      <c r="G118" s="1">
        <v>2</v>
      </c>
      <c r="H118" s="1">
        <v>2</v>
      </c>
      <c r="I118" s="1">
        <v>2</v>
      </c>
      <c r="J118" s="1">
        <v>2</v>
      </c>
      <c r="K118" s="1">
        <v>3</v>
      </c>
      <c r="L118" s="1">
        <v>2</v>
      </c>
      <c r="M118" s="1">
        <v>3</v>
      </c>
      <c r="N118" s="1">
        <v>4</v>
      </c>
      <c r="O118" s="1">
        <v>3</v>
      </c>
      <c r="P118" s="1">
        <v>2</v>
      </c>
      <c r="Q118" s="1">
        <v>3</v>
      </c>
      <c r="R118" s="1">
        <v>4</v>
      </c>
      <c r="S118" s="9">
        <f t="shared" si="7"/>
        <v>2</v>
      </c>
      <c r="T118" s="9">
        <f t="shared" si="8"/>
        <v>2.3333333333333335</v>
      </c>
      <c r="U118" s="9">
        <f t="shared" si="9"/>
        <v>3.3333333333333335</v>
      </c>
      <c r="V118" s="9">
        <f t="shared" si="10"/>
        <v>3</v>
      </c>
      <c r="W118" s="9">
        <f t="shared" si="11"/>
        <v>10.666666666666668</v>
      </c>
      <c r="X118" s="9">
        <f t="shared" si="12"/>
        <v>2.666666666666667</v>
      </c>
      <c r="Y118" s="1">
        <f t="shared" si="13"/>
        <v>1</v>
      </c>
      <c r="Z118" s="1">
        <v>2</v>
      </c>
      <c r="AA118" s="2" t="s">
        <v>70</v>
      </c>
      <c r="AB118" s="1" t="s">
        <v>83</v>
      </c>
    </row>
    <row r="119" spans="1:28" x14ac:dyDescent="0.35">
      <c r="A119" s="1" t="s">
        <v>205</v>
      </c>
      <c r="B119" s="1">
        <v>49</v>
      </c>
      <c r="C119" s="1" t="str">
        <f>VLOOKUP(A119,[1]Export!$1:$1048576,6)</f>
        <v>Masculino</v>
      </c>
      <c r="D119" s="1" t="s">
        <v>230</v>
      </c>
      <c r="E119" s="1" t="s">
        <v>236</v>
      </c>
      <c r="F119" s="1">
        <v>0</v>
      </c>
      <c r="G119" s="1">
        <v>1</v>
      </c>
      <c r="H119" s="1">
        <v>2</v>
      </c>
      <c r="I119" s="1">
        <v>1</v>
      </c>
      <c r="J119" s="1">
        <v>2</v>
      </c>
      <c r="K119" s="1">
        <v>1</v>
      </c>
      <c r="L119" s="1">
        <v>1</v>
      </c>
      <c r="M119" s="1">
        <v>1</v>
      </c>
      <c r="N119" s="1">
        <v>2</v>
      </c>
      <c r="O119" s="1">
        <v>1</v>
      </c>
      <c r="P119" s="1">
        <v>2</v>
      </c>
      <c r="Q119" s="1">
        <v>2</v>
      </c>
      <c r="R119" s="1">
        <v>2</v>
      </c>
      <c r="S119" s="9">
        <f t="shared" si="7"/>
        <v>1.3333333333333333</v>
      </c>
      <c r="T119" s="9">
        <f t="shared" si="8"/>
        <v>1.3333333333333333</v>
      </c>
      <c r="U119" s="9">
        <f t="shared" si="9"/>
        <v>1.3333333333333333</v>
      </c>
      <c r="V119" s="9">
        <f t="shared" si="10"/>
        <v>2</v>
      </c>
      <c r="W119" s="9">
        <f t="shared" si="11"/>
        <v>6</v>
      </c>
      <c r="X119" s="9">
        <f t="shared" si="12"/>
        <v>1.5</v>
      </c>
      <c r="Y119" s="1">
        <f t="shared" si="13"/>
        <v>1</v>
      </c>
      <c r="Z119" s="1">
        <v>2</v>
      </c>
      <c r="AA119" s="2" t="s">
        <v>19</v>
      </c>
      <c r="AB119" s="1" t="s">
        <v>83</v>
      </c>
    </row>
    <row r="120" spans="1:28" x14ac:dyDescent="0.35">
      <c r="A120" s="1" t="s">
        <v>206</v>
      </c>
      <c r="B120" s="1">
        <v>35</v>
      </c>
      <c r="C120" s="1" t="str">
        <f>VLOOKUP(A120,[1]Export!$1:$1048576,6)</f>
        <v>Masculino</v>
      </c>
      <c r="D120" s="1" t="s">
        <v>231</v>
      </c>
      <c r="E120" s="1" t="s">
        <v>236</v>
      </c>
      <c r="F120" s="1">
        <v>3</v>
      </c>
      <c r="G120" s="1">
        <v>5</v>
      </c>
      <c r="H120" s="1">
        <v>5</v>
      </c>
      <c r="I120" s="1">
        <v>5</v>
      </c>
      <c r="J120" s="1">
        <v>4</v>
      </c>
      <c r="K120" s="1">
        <v>5</v>
      </c>
      <c r="L120" s="1">
        <v>4</v>
      </c>
      <c r="M120" s="1">
        <v>5</v>
      </c>
      <c r="N120" s="1">
        <v>5</v>
      </c>
      <c r="O120" s="1">
        <v>4</v>
      </c>
      <c r="P120" s="1">
        <v>5</v>
      </c>
      <c r="Q120" s="1">
        <v>4</v>
      </c>
      <c r="R120" s="1">
        <v>4</v>
      </c>
      <c r="S120" s="9">
        <f t="shared" si="7"/>
        <v>5</v>
      </c>
      <c r="T120" s="9">
        <f t="shared" si="8"/>
        <v>4.333333333333333</v>
      </c>
      <c r="U120" s="9">
        <f t="shared" si="9"/>
        <v>4.666666666666667</v>
      </c>
      <c r="V120" s="9">
        <f t="shared" si="10"/>
        <v>4.333333333333333</v>
      </c>
      <c r="W120" s="9">
        <f t="shared" si="11"/>
        <v>18.333333333333332</v>
      </c>
      <c r="X120" s="9">
        <f t="shared" si="12"/>
        <v>4.583333333333333</v>
      </c>
      <c r="Y120" s="1">
        <f t="shared" si="13"/>
        <v>3</v>
      </c>
      <c r="Z120" s="1">
        <v>2</v>
      </c>
      <c r="AA120" s="2" t="s">
        <v>71</v>
      </c>
      <c r="AB120" s="1" t="s">
        <v>86</v>
      </c>
    </row>
    <row r="121" spans="1:28" x14ac:dyDescent="0.35">
      <c r="A121" s="1" t="s">
        <v>207</v>
      </c>
      <c r="B121" s="1">
        <v>33</v>
      </c>
      <c r="C121" s="1" t="str">
        <f>VLOOKUP(A121,[1]Export!$1:$1048576,6)</f>
        <v>Femenino</v>
      </c>
      <c r="D121" s="1" t="s">
        <v>231</v>
      </c>
      <c r="E121" s="1" t="s">
        <v>237</v>
      </c>
      <c r="F121" s="1">
        <v>4</v>
      </c>
      <c r="G121" s="1">
        <v>3</v>
      </c>
      <c r="H121" s="1">
        <v>4</v>
      </c>
      <c r="I121" s="1">
        <v>3</v>
      </c>
      <c r="J121" s="1">
        <v>4</v>
      </c>
      <c r="K121" s="1">
        <v>4</v>
      </c>
      <c r="L121" s="1">
        <v>2</v>
      </c>
      <c r="M121" s="1">
        <v>4</v>
      </c>
      <c r="N121" s="1">
        <v>3</v>
      </c>
      <c r="O121" s="1">
        <v>4</v>
      </c>
      <c r="P121" s="1">
        <v>4</v>
      </c>
      <c r="Q121" s="1">
        <v>2</v>
      </c>
      <c r="R121" s="1">
        <v>3</v>
      </c>
      <c r="S121" s="9">
        <f t="shared" si="7"/>
        <v>3.3333333333333335</v>
      </c>
      <c r="T121" s="9">
        <f t="shared" si="8"/>
        <v>3.3333333333333335</v>
      </c>
      <c r="U121" s="9">
        <f t="shared" si="9"/>
        <v>3.6666666666666665</v>
      </c>
      <c r="V121" s="9">
        <f t="shared" si="10"/>
        <v>3</v>
      </c>
      <c r="W121" s="9">
        <f t="shared" si="11"/>
        <v>13.333333333333334</v>
      </c>
      <c r="X121" s="9">
        <f t="shared" si="12"/>
        <v>3.3333333333333335</v>
      </c>
      <c r="Y121" s="1">
        <f t="shared" si="13"/>
        <v>2</v>
      </c>
      <c r="Z121" s="1">
        <v>2</v>
      </c>
      <c r="AA121" s="2" t="s">
        <v>72</v>
      </c>
      <c r="AB121" s="10" t="s">
        <v>84</v>
      </c>
    </row>
    <row r="122" spans="1:28" x14ac:dyDescent="0.35">
      <c r="A122" s="1" t="s">
        <v>208</v>
      </c>
      <c r="B122" s="1">
        <v>54</v>
      </c>
      <c r="C122" s="1" t="str">
        <f>VLOOKUP(A122,[1]Export!$1:$1048576,6)</f>
        <v>Masculino</v>
      </c>
      <c r="D122" s="1" t="s">
        <v>231</v>
      </c>
      <c r="E122" s="1" t="s">
        <v>242</v>
      </c>
      <c r="F122" s="1">
        <v>10</v>
      </c>
      <c r="G122" s="1">
        <v>3</v>
      </c>
      <c r="H122" s="1">
        <v>3</v>
      </c>
      <c r="I122" s="1">
        <v>2</v>
      </c>
      <c r="J122" s="1">
        <v>2</v>
      </c>
      <c r="K122" s="1">
        <v>3</v>
      </c>
      <c r="L122" s="1">
        <v>4</v>
      </c>
      <c r="M122" s="1">
        <v>4</v>
      </c>
      <c r="N122" s="1">
        <v>4</v>
      </c>
      <c r="O122" s="1">
        <v>4</v>
      </c>
      <c r="P122" s="1">
        <v>3</v>
      </c>
      <c r="Q122" s="1">
        <v>4</v>
      </c>
      <c r="R122" s="1">
        <v>3</v>
      </c>
      <c r="S122" s="9">
        <f t="shared" si="7"/>
        <v>2.6666666666666665</v>
      </c>
      <c r="T122" s="9">
        <f t="shared" si="8"/>
        <v>3</v>
      </c>
      <c r="U122" s="9">
        <f t="shared" si="9"/>
        <v>4</v>
      </c>
      <c r="V122" s="9">
        <f t="shared" si="10"/>
        <v>3.3333333333333335</v>
      </c>
      <c r="W122" s="9">
        <f t="shared" si="11"/>
        <v>13</v>
      </c>
      <c r="X122" s="9">
        <f t="shared" si="12"/>
        <v>3.25</v>
      </c>
      <c r="Y122" s="1">
        <f t="shared" si="13"/>
        <v>2</v>
      </c>
      <c r="Z122" s="1">
        <v>2</v>
      </c>
      <c r="AA122" s="2" t="s">
        <v>13</v>
      </c>
      <c r="AB122" s="10" t="s">
        <v>84</v>
      </c>
    </row>
    <row r="123" spans="1:28" x14ac:dyDescent="0.35">
      <c r="A123" s="1" t="s">
        <v>209</v>
      </c>
      <c r="B123" s="1">
        <v>44</v>
      </c>
      <c r="C123" s="1" t="str">
        <f>VLOOKUP(A123,[1]Export!$1:$1048576,6)</f>
        <v>Masculino</v>
      </c>
      <c r="D123" s="1" t="s">
        <v>230</v>
      </c>
      <c r="E123" s="1" t="s">
        <v>236</v>
      </c>
      <c r="F123" s="1">
        <v>0</v>
      </c>
      <c r="G123" s="1">
        <v>4</v>
      </c>
      <c r="H123" s="1">
        <v>3</v>
      </c>
      <c r="I123" s="1">
        <v>3</v>
      </c>
      <c r="J123" s="1">
        <v>3</v>
      </c>
      <c r="K123" s="1">
        <v>4</v>
      </c>
      <c r="L123" s="1">
        <v>2</v>
      </c>
      <c r="M123" s="1">
        <v>3</v>
      </c>
      <c r="N123" s="1">
        <v>2</v>
      </c>
      <c r="O123" s="1">
        <v>4</v>
      </c>
      <c r="P123" s="1">
        <v>3</v>
      </c>
      <c r="Q123" s="1">
        <v>2</v>
      </c>
      <c r="R123" s="1">
        <v>3</v>
      </c>
      <c r="S123" s="9">
        <f t="shared" si="7"/>
        <v>3.3333333333333335</v>
      </c>
      <c r="T123" s="9">
        <f t="shared" si="8"/>
        <v>3</v>
      </c>
      <c r="U123" s="9">
        <f t="shared" si="9"/>
        <v>3</v>
      </c>
      <c r="V123" s="9">
        <f t="shared" si="10"/>
        <v>2.6666666666666665</v>
      </c>
      <c r="W123" s="9">
        <f t="shared" si="11"/>
        <v>12</v>
      </c>
      <c r="X123" s="9">
        <f t="shared" si="12"/>
        <v>3</v>
      </c>
      <c r="Y123" s="1">
        <f t="shared" si="13"/>
        <v>2</v>
      </c>
      <c r="Z123" s="1">
        <v>2</v>
      </c>
      <c r="AA123" s="2" t="s">
        <v>44</v>
      </c>
      <c r="AB123" s="10" t="s">
        <v>84</v>
      </c>
    </row>
    <row r="124" spans="1:28" x14ac:dyDescent="0.35">
      <c r="A124" s="1" t="s">
        <v>210</v>
      </c>
      <c r="B124" s="1">
        <v>48</v>
      </c>
      <c r="C124" s="1" t="str">
        <f>VLOOKUP(A124,[1]Export!$1:$1048576,6)</f>
        <v>Masculino</v>
      </c>
      <c r="D124" s="1" t="s">
        <v>231</v>
      </c>
      <c r="E124" s="1" t="s">
        <v>240</v>
      </c>
      <c r="F124" s="1">
        <v>10</v>
      </c>
      <c r="G124" s="1">
        <v>3</v>
      </c>
      <c r="H124" s="1">
        <v>2</v>
      </c>
      <c r="I124" s="1">
        <v>3</v>
      </c>
      <c r="J124" s="1">
        <v>4</v>
      </c>
      <c r="K124" s="1">
        <v>2</v>
      </c>
      <c r="L124" s="1">
        <v>2</v>
      </c>
      <c r="M124" s="1">
        <v>4</v>
      </c>
      <c r="N124" s="1">
        <v>3</v>
      </c>
      <c r="O124" s="1">
        <v>3</v>
      </c>
      <c r="P124" s="1">
        <v>3</v>
      </c>
      <c r="Q124" s="1">
        <v>2</v>
      </c>
      <c r="R124" s="1">
        <v>2</v>
      </c>
      <c r="S124" s="9">
        <f t="shared" si="7"/>
        <v>2.6666666666666665</v>
      </c>
      <c r="T124" s="9">
        <f t="shared" si="8"/>
        <v>2.6666666666666665</v>
      </c>
      <c r="U124" s="9">
        <f t="shared" si="9"/>
        <v>3.3333333333333335</v>
      </c>
      <c r="V124" s="9">
        <f t="shared" si="10"/>
        <v>2.3333333333333335</v>
      </c>
      <c r="W124" s="9">
        <f t="shared" si="11"/>
        <v>11</v>
      </c>
      <c r="X124" s="9">
        <f t="shared" si="12"/>
        <v>2.75</v>
      </c>
      <c r="Y124" s="1">
        <f t="shared" si="13"/>
        <v>1</v>
      </c>
      <c r="Z124" s="1">
        <v>2</v>
      </c>
      <c r="AA124" s="2" t="s">
        <v>53</v>
      </c>
      <c r="AB124" s="1" t="s">
        <v>83</v>
      </c>
    </row>
    <row r="125" spans="1:28" x14ac:dyDescent="0.35">
      <c r="A125" s="1" t="s">
        <v>211</v>
      </c>
      <c r="B125" s="1">
        <v>54</v>
      </c>
      <c r="C125" s="1" t="str">
        <f>VLOOKUP(A125,[1]Export!$1:$1048576,6)</f>
        <v>Masculino</v>
      </c>
      <c r="D125" s="1" t="s">
        <v>231</v>
      </c>
      <c r="E125" s="1" t="s">
        <v>240</v>
      </c>
      <c r="F125" s="1">
        <v>10</v>
      </c>
      <c r="G125" s="1">
        <v>5</v>
      </c>
      <c r="H125" s="1">
        <v>4</v>
      </c>
      <c r="I125" s="1">
        <v>5</v>
      </c>
      <c r="J125" s="1">
        <v>4</v>
      </c>
      <c r="K125" s="1">
        <v>5</v>
      </c>
      <c r="L125" s="1">
        <v>4</v>
      </c>
      <c r="M125" s="1">
        <v>4</v>
      </c>
      <c r="N125" s="1">
        <v>5</v>
      </c>
      <c r="O125" s="1">
        <v>4</v>
      </c>
      <c r="P125" s="1">
        <v>4</v>
      </c>
      <c r="Q125" s="1">
        <v>4</v>
      </c>
      <c r="R125" s="1">
        <v>4</v>
      </c>
      <c r="S125" s="9">
        <f t="shared" si="7"/>
        <v>4.666666666666667</v>
      </c>
      <c r="T125" s="9">
        <f t="shared" si="8"/>
        <v>4.333333333333333</v>
      </c>
      <c r="U125" s="9">
        <f t="shared" si="9"/>
        <v>4.333333333333333</v>
      </c>
      <c r="V125" s="9">
        <f t="shared" si="10"/>
        <v>4</v>
      </c>
      <c r="W125" s="9">
        <f t="shared" si="11"/>
        <v>17.333333333333332</v>
      </c>
      <c r="X125" s="9">
        <f t="shared" si="12"/>
        <v>4.333333333333333</v>
      </c>
      <c r="Y125" s="1">
        <f t="shared" si="13"/>
        <v>3</v>
      </c>
      <c r="Z125" s="1">
        <v>2</v>
      </c>
      <c r="AA125" s="2" t="s">
        <v>73</v>
      </c>
      <c r="AB125" s="1" t="s">
        <v>86</v>
      </c>
    </row>
    <row r="126" spans="1:28" x14ac:dyDescent="0.35">
      <c r="A126" s="1" t="s">
        <v>212</v>
      </c>
      <c r="B126" s="1">
        <v>50</v>
      </c>
      <c r="C126" s="1" t="str">
        <f>VLOOKUP(A126,[1]Export!$1:$1048576,6)</f>
        <v>Masculino</v>
      </c>
      <c r="D126" s="1" t="s">
        <v>233</v>
      </c>
      <c r="E126" s="1" t="s">
        <v>236</v>
      </c>
      <c r="F126" s="1">
        <v>0</v>
      </c>
      <c r="G126" s="1">
        <v>4</v>
      </c>
      <c r="H126" s="1">
        <v>4</v>
      </c>
      <c r="I126" s="1">
        <v>2</v>
      </c>
      <c r="J126" s="1">
        <v>4</v>
      </c>
      <c r="K126" s="1">
        <v>2</v>
      </c>
      <c r="L126" s="1">
        <v>4</v>
      </c>
      <c r="M126" s="1">
        <v>2</v>
      </c>
      <c r="N126" s="1">
        <v>4</v>
      </c>
      <c r="O126" s="1">
        <v>3</v>
      </c>
      <c r="P126" s="1">
        <v>2</v>
      </c>
      <c r="Q126" s="1">
        <v>3</v>
      </c>
      <c r="R126" s="1">
        <v>3</v>
      </c>
      <c r="S126" s="9">
        <f t="shared" si="7"/>
        <v>3.3333333333333335</v>
      </c>
      <c r="T126" s="9">
        <f t="shared" si="8"/>
        <v>3.3333333333333335</v>
      </c>
      <c r="U126" s="9">
        <f t="shared" si="9"/>
        <v>3</v>
      </c>
      <c r="V126" s="9">
        <f t="shared" si="10"/>
        <v>2.6666666666666665</v>
      </c>
      <c r="W126" s="9">
        <f t="shared" si="11"/>
        <v>12.333333333333334</v>
      </c>
      <c r="X126" s="9">
        <f t="shared" si="12"/>
        <v>3.0833333333333335</v>
      </c>
      <c r="Y126" s="1">
        <f t="shared" si="13"/>
        <v>2</v>
      </c>
      <c r="Z126" s="1">
        <v>2</v>
      </c>
      <c r="AA126" s="2" t="s">
        <v>22</v>
      </c>
      <c r="AB126" s="10" t="s">
        <v>84</v>
      </c>
    </row>
    <row r="127" spans="1:28" x14ac:dyDescent="0.35">
      <c r="A127" s="1" t="s">
        <v>213</v>
      </c>
      <c r="B127" s="1">
        <v>72</v>
      </c>
      <c r="C127" s="1" t="str">
        <f>VLOOKUP(A127,[1]Export!$1:$1048576,6)</f>
        <v>Masculino</v>
      </c>
      <c r="D127" s="1" t="s">
        <v>232</v>
      </c>
      <c r="E127" s="1" t="s">
        <v>241</v>
      </c>
      <c r="F127" s="1">
        <v>10</v>
      </c>
      <c r="G127" s="1">
        <v>2</v>
      </c>
      <c r="H127" s="1">
        <v>2</v>
      </c>
      <c r="I127" s="1">
        <v>4</v>
      </c>
      <c r="J127" s="1">
        <v>2</v>
      </c>
      <c r="K127" s="1">
        <v>2</v>
      </c>
      <c r="L127" s="1">
        <v>2</v>
      </c>
      <c r="M127" s="1">
        <v>3</v>
      </c>
      <c r="N127" s="1">
        <v>3</v>
      </c>
      <c r="O127" s="1">
        <v>4</v>
      </c>
      <c r="P127" s="1">
        <v>4</v>
      </c>
      <c r="Q127" s="1">
        <v>4</v>
      </c>
      <c r="R127" s="1">
        <v>2</v>
      </c>
      <c r="S127" s="9">
        <f t="shared" si="7"/>
        <v>2.6666666666666665</v>
      </c>
      <c r="T127" s="9">
        <f t="shared" si="8"/>
        <v>2</v>
      </c>
      <c r="U127" s="9">
        <f t="shared" si="9"/>
        <v>3.3333333333333335</v>
      </c>
      <c r="V127" s="9">
        <f t="shared" si="10"/>
        <v>3.3333333333333335</v>
      </c>
      <c r="W127" s="9">
        <f t="shared" si="11"/>
        <v>11.333333333333334</v>
      </c>
      <c r="X127" s="9">
        <f t="shared" si="12"/>
        <v>2.8333333333333335</v>
      </c>
      <c r="Y127" s="1">
        <f t="shared" si="13"/>
        <v>1</v>
      </c>
      <c r="Z127" s="1">
        <v>2</v>
      </c>
      <c r="AA127" s="2" t="s">
        <v>17</v>
      </c>
      <c r="AB127" s="1" t="s">
        <v>83</v>
      </c>
    </row>
    <row r="128" spans="1:28" x14ac:dyDescent="0.35">
      <c r="A128" s="1" t="s">
        <v>214</v>
      </c>
      <c r="B128" s="1">
        <v>39</v>
      </c>
      <c r="C128" s="1" t="str">
        <f>VLOOKUP(A128,[1]Export!$1:$1048576,6)</f>
        <v>Femenino</v>
      </c>
      <c r="D128" s="1" t="s">
        <v>232</v>
      </c>
      <c r="E128" s="1" t="s">
        <v>238</v>
      </c>
      <c r="F128" s="1">
        <v>2</v>
      </c>
      <c r="G128" s="1">
        <v>1</v>
      </c>
      <c r="H128" s="1">
        <v>2</v>
      </c>
      <c r="I128" s="1">
        <v>2</v>
      </c>
      <c r="J128" s="1">
        <v>1</v>
      </c>
      <c r="K128" s="1">
        <v>1</v>
      </c>
      <c r="L128" s="1">
        <v>1</v>
      </c>
      <c r="M128" s="1">
        <v>1</v>
      </c>
      <c r="N128" s="1">
        <v>1</v>
      </c>
      <c r="O128" s="1">
        <v>2</v>
      </c>
      <c r="P128" s="1">
        <v>1</v>
      </c>
      <c r="Q128" s="1">
        <v>2</v>
      </c>
      <c r="R128" s="1">
        <v>1</v>
      </c>
      <c r="S128" s="9">
        <f t="shared" si="7"/>
        <v>1.6666666666666667</v>
      </c>
      <c r="T128" s="9">
        <f t="shared" si="8"/>
        <v>1</v>
      </c>
      <c r="U128" s="9">
        <f t="shared" si="9"/>
        <v>1.3333333333333333</v>
      </c>
      <c r="V128" s="9">
        <f t="shared" si="10"/>
        <v>1.3333333333333333</v>
      </c>
      <c r="W128" s="9">
        <f t="shared" si="11"/>
        <v>5.333333333333333</v>
      </c>
      <c r="X128" s="9">
        <f t="shared" si="12"/>
        <v>1.3333333333333333</v>
      </c>
      <c r="Y128" s="1">
        <f t="shared" si="13"/>
        <v>1</v>
      </c>
      <c r="Z128" s="1">
        <v>2</v>
      </c>
      <c r="AA128" s="2" t="s">
        <v>21</v>
      </c>
      <c r="AB128" s="1" t="s">
        <v>83</v>
      </c>
    </row>
    <row r="129" spans="1:28" x14ac:dyDescent="0.35">
      <c r="A129" s="1" t="s">
        <v>215</v>
      </c>
      <c r="B129" s="1">
        <v>30</v>
      </c>
      <c r="C129" s="1" t="str">
        <f>VLOOKUP(A129,[1]Export!$1:$1048576,6)</f>
        <v>Masculino</v>
      </c>
      <c r="D129" s="1" t="s">
        <v>231</v>
      </c>
      <c r="E129" s="1" t="s">
        <v>238</v>
      </c>
      <c r="F129" s="1">
        <v>4</v>
      </c>
      <c r="G129" s="1">
        <v>2</v>
      </c>
      <c r="H129" s="1">
        <v>2</v>
      </c>
      <c r="I129" s="1">
        <v>2</v>
      </c>
      <c r="J129" s="1">
        <v>1</v>
      </c>
      <c r="K129" s="1">
        <v>1</v>
      </c>
      <c r="L129" s="1">
        <v>1</v>
      </c>
      <c r="M129" s="1">
        <v>2</v>
      </c>
      <c r="N129" s="1">
        <v>2</v>
      </c>
      <c r="O129" s="1">
        <v>2</v>
      </c>
      <c r="P129" s="1">
        <v>1</v>
      </c>
      <c r="Q129" s="1">
        <v>2</v>
      </c>
      <c r="R129" s="1">
        <v>2</v>
      </c>
      <c r="S129" s="9">
        <f t="shared" si="7"/>
        <v>2</v>
      </c>
      <c r="T129" s="9">
        <f t="shared" si="8"/>
        <v>1</v>
      </c>
      <c r="U129" s="9">
        <f t="shared" si="9"/>
        <v>2</v>
      </c>
      <c r="V129" s="9">
        <f t="shared" si="10"/>
        <v>1.6666666666666667</v>
      </c>
      <c r="W129" s="9">
        <f t="shared" si="11"/>
        <v>6.666666666666667</v>
      </c>
      <c r="X129" s="9">
        <f t="shared" si="12"/>
        <v>1.6666666666666667</v>
      </c>
      <c r="Y129" s="1">
        <f t="shared" si="13"/>
        <v>1</v>
      </c>
      <c r="Z129" s="1">
        <v>2</v>
      </c>
      <c r="AA129" s="2" t="s">
        <v>13</v>
      </c>
      <c r="AB129" s="1" t="s">
        <v>83</v>
      </c>
    </row>
    <row r="130" spans="1:28" x14ac:dyDescent="0.35">
      <c r="A130" s="1" t="s">
        <v>216</v>
      </c>
      <c r="B130" s="1">
        <v>30</v>
      </c>
      <c r="C130" s="1" t="str">
        <f>VLOOKUP(A130,[1]Export!$1:$1048576,6)</f>
        <v>Masculino</v>
      </c>
      <c r="D130" s="1" t="s">
        <v>233</v>
      </c>
      <c r="E130" s="1" t="s">
        <v>236</v>
      </c>
      <c r="F130" s="1">
        <v>5</v>
      </c>
      <c r="G130" s="1">
        <v>3</v>
      </c>
      <c r="H130" s="1">
        <v>3</v>
      </c>
      <c r="I130" s="1">
        <v>2</v>
      </c>
      <c r="J130" s="1">
        <v>3</v>
      </c>
      <c r="K130" s="1">
        <v>3</v>
      </c>
      <c r="L130" s="1">
        <v>4</v>
      </c>
      <c r="M130" s="1">
        <v>3</v>
      </c>
      <c r="N130" s="1">
        <v>3</v>
      </c>
      <c r="O130" s="1">
        <v>4</v>
      </c>
      <c r="P130" s="1">
        <v>3</v>
      </c>
      <c r="Q130" s="1">
        <v>4</v>
      </c>
      <c r="R130" s="1">
        <v>4</v>
      </c>
      <c r="S130" s="9">
        <f t="shared" si="7"/>
        <v>2.6666666666666665</v>
      </c>
      <c r="T130" s="9">
        <f t="shared" si="8"/>
        <v>3.3333333333333335</v>
      </c>
      <c r="U130" s="9">
        <f t="shared" si="9"/>
        <v>3.3333333333333335</v>
      </c>
      <c r="V130" s="9">
        <f t="shared" si="10"/>
        <v>3.6666666666666665</v>
      </c>
      <c r="W130" s="9">
        <f t="shared" si="11"/>
        <v>13</v>
      </c>
      <c r="X130" s="9">
        <f t="shared" si="12"/>
        <v>3.25</v>
      </c>
      <c r="Y130" s="1">
        <f t="shared" si="13"/>
        <v>2</v>
      </c>
      <c r="Z130" s="1">
        <v>2</v>
      </c>
      <c r="AA130" s="2" t="s">
        <v>68</v>
      </c>
      <c r="AB130" s="10" t="s">
        <v>84</v>
      </c>
    </row>
    <row r="131" spans="1:28" x14ac:dyDescent="0.35">
      <c r="A131" s="1" t="s">
        <v>217</v>
      </c>
      <c r="B131" s="1">
        <v>35</v>
      </c>
      <c r="C131" s="1" t="str">
        <f>VLOOKUP(A131,[1]Export!$1:$1048576,6)</f>
        <v>Femenino</v>
      </c>
      <c r="D131" s="1" t="s">
        <v>232</v>
      </c>
      <c r="E131" s="1" t="s">
        <v>241</v>
      </c>
      <c r="F131" s="1">
        <v>2</v>
      </c>
      <c r="G131" s="1">
        <v>3</v>
      </c>
      <c r="H131" s="1">
        <v>3</v>
      </c>
      <c r="I131" s="1">
        <v>4</v>
      </c>
      <c r="J131" s="1">
        <v>4</v>
      </c>
      <c r="K131" s="1">
        <v>3</v>
      </c>
      <c r="L131" s="1">
        <v>4</v>
      </c>
      <c r="M131" s="1">
        <v>3</v>
      </c>
      <c r="N131" s="1">
        <v>3</v>
      </c>
      <c r="O131" s="1">
        <v>2</v>
      </c>
      <c r="P131" s="1">
        <v>2</v>
      </c>
      <c r="Q131" s="1">
        <v>2</v>
      </c>
      <c r="R131" s="1">
        <v>4</v>
      </c>
      <c r="S131" s="9">
        <f t="shared" si="7"/>
        <v>3.3333333333333335</v>
      </c>
      <c r="T131" s="9">
        <f t="shared" si="8"/>
        <v>3.6666666666666665</v>
      </c>
      <c r="U131" s="9">
        <f t="shared" si="9"/>
        <v>2.6666666666666665</v>
      </c>
      <c r="V131" s="9">
        <f t="shared" si="10"/>
        <v>2.6666666666666665</v>
      </c>
      <c r="W131" s="9">
        <f t="shared" si="11"/>
        <v>12.333333333333332</v>
      </c>
      <c r="X131" s="9">
        <f t="shared" si="12"/>
        <v>3.083333333333333</v>
      </c>
      <c r="Y131" s="1">
        <f t="shared" si="13"/>
        <v>2</v>
      </c>
      <c r="Z131" s="1">
        <v>3</v>
      </c>
      <c r="AA131" s="2" t="s">
        <v>74</v>
      </c>
      <c r="AB131" s="1" t="s">
        <v>85</v>
      </c>
    </row>
    <row r="132" spans="1:28" x14ac:dyDescent="0.35">
      <c r="A132" s="1" t="s">
        <v>218</v>
      </c>
      <c r="B132" s="1">
        <v>55</v>
      </c>
      <c r="C132" s="1" t="str">
        <f>VLOOKUP(A132,[1]Export!$1:$1048576,6)</f>
        <v>Masculino</v>
      </c>
      <c r="D132" s="1" t="s">
        <v>231</v>
      </c>
      <c r="E132" s="1" t="s">
        <v>236</v>
      </c>
      <c r="F132" s="1">
        <v>7</v>
      </c>
      <c r="G132" s="1">
        <v>3</v>
      </c>
      <c r="H132" s="1">
        <v>3</v>
      </c>
      <c r="I132" s="1">
        <v>3</v>
      </c>
      <c r="J132" s="1">
        <v>2</v>
      </c>
      <c r="K132" s="1">
        <v>2</v>
      </c>
      <c r="L132" s="1">
        <v>3</v>
      </c>
      <c r="M132" s="1">
        <v>2</v>
      </c>
      <c r="N132" s="1">
        <v>2</v>
      </c>
      <c r="O132" s="1">
        <v>3</v>
      </c>
      <c r="P132" s="1">
        <v>4</v>
      </c>
      <c r="Q132" s="1">
        <v>3</v>
      </c>
      <c r="R132" s="1">
        <v>4</v>
      </c>
      <c r="S132" s="9">
        <f t="shared" ref="S132:S138" si="14">AVERAGE(G132:I132)</f>
        <v>3</v>
      </c>
      <c r="T132" s="9">
        <f t="shared" ref="T132:T138" si="15">AVERAGE(J132:L132)</f>
        <v>2.3333333333333335</v>
      </c>
      <c r="U132" s="9">
        <f t="shared" ref="U132:U138" si="16">AVERAGE(M132:O132)</f>
        <v>2.3333333333333335</v>
      </c>
      <c r="V132" s="9">
        <f t="shared" ref="V132:V138" si="17">AVERAGE(P132:R132)</f>
        <v>3.6666666666666665</v>
      </c>
      <c r="W132" s="9">
        <f t="shared" ref="W132:W138" si="18">SUM(S132:V132)</f>
        <v>11.333333333333334</v>
      </c>
      <c r="X132" s="9">
        <f t="shared" ref="X132:X138" si="19">W132/4</f>
        <v>2.8333333333333335</v>
      </c>
      <c r="Y132" s="1">
        <f t="shared" ref="Y132:Y138" si="20">IF(X132&lt;3,1,IF(X132&lt;4,2,3))</f>
        <v>1</v>
      </c>
      <c r="Z132" s="1">
        <v>2</v>
      </c>
      <c r="AA132" s="2" t="s">
        <v>63</v>
      </c>
      <c r="AB132" s="1" t="s">
        <v>83</v>
      </c>
    </row>
    <row r="133" spans="1:28" x14ac:dyDescent="0.35">
      <c r="A133" s="1" t="s">
        <v>219</v>
      </c>
      <c r="B133" s="1">
        <v>39</v>
      </c>
      <c r="C133" s="1" t="str">
        <f>VLOOKUP(A133,[1]Export!$1:$1048576,6)</f>
        <v>Masculino</v>
      </c>
      <c r="D133" s="1" t="s">
        <v>231</v>
      </c>
      <c r="E133" s="1" t="s">
        <v>242</v>
      </c>
      <c r="F133" s="1">
        <v>7</v>
      </c>
      <c r="G133" s="1">
        <v>1</v>
      </c>
      <c r="H133" s="1">
        <v>2</v>
      </c>
      <c r="I133" s="1">
        <v>2</v>
      </c>
      <c r="J133" s="1">
        <v>2</v>
      </c>
      <c r="K133" s="1">
        <v>2</v>
      </c>
      <c r="L133" s="1">
        <v>2</v>
      </c>
      <c r="M133" s="1">
        <v>1</v>
      </c>
      <c r="N133" s="1">
        <v>1</v>
      </c>
      <c r="O133" s="1">
        <v>1</v>
      </c>
      <c r="P133" s="1">
        <v>2</v>
      </c>
      <c r="Q133" s="1">
        <v>2</v>
      </c>
      <c r="R133" s="1">
        <v>2</v>
      </c>
      <c r="S133" s="9">
        <f t="shared" si="14"/>
        <v>1.6666666666666667</v>
      </c>
      <c r="T133" s="9">
        <f t="shared" si="15"/>
        <v>2</v>
      </c>
      <c r="U133" s="9">
        <f t="shared" si="16"/>
        <v>1</v>
      </c>
      <c r="V133" s="9">
        <f t="shared" si="17"/>
        <v>2</v>
      </c>
      <c r="W133" s="9">
        <f t="shared" si="18"/>
        <v>6.666666666666667</v>
      </c>
      <c r="X133" s="9">
        <f t="shared" si="19"/>
        <v>1.6666666666666667</v>
      </c>
      <c r="Y133" s="1">
        <f t="shared" si="20"/>
        <v>1</v>
      </c>
      <c r="Z133" s="1">
        <v>2</v>
      </c>
      <c r="AA133" s="2" t="s">
        <v>56</v>
      </c>
      <c r="AB133" s="1" t="s">
        <v>83</v>
      </c>
    </row>
    <row r="134" spans="1:28" x14ac:dyDescent="0.35">
      <c r="A134" s="1" t="s">
        <v>220</v>
      </c>
      <c r="B134" s="1">
        <v>40</v>
      </c>
      <c r="C134" s="1" t="str">
        <f>VLOOKUP(A134,[1]Export!$1:$1048576,6)</f>
        <v>Femenino</v>
      </c>
      <c r="D134" s="1" t="s">
        <v>230</v>
      </c>
      <c r="E134" s="1" t="s">
        <v>236</v>
      </c>
      <c r="F134" s="1">
        <v>6</v>
      </c>
      <c r="G134" s="1">
        <v>4</v>
      </c>
      <c r="H134" s="1">
        <v>4</v>
      </c>
      <c r="I134" s="1">
        <v>3</v>
      </c>
      <c r="J134" s="1">
        <v>2</v>
      </c>
      <c r="K134" s="1">
        <v>4</v>
      </c>
      <c r="L134" s="1">
        <v>4</v>
      </c>
      <c r="M134" s="1">
        <v>2</v>
      </c>
      <c r="N134" s="1">
        <v>2</v>
      </c>
      <c r="O134" s="1">
        <v>3</v>
      </c>
      <c r="P134" s="1">
        <v>4</v>
      </c>
      <c r="Q134" s="1">
        <v>2</v>
      </c>
      <c r="R134" s="1">
        <v>2</v>
      </c>
      <c r="S134" s="9">
        <f t="shared" si="14"/>
        <v>3.6666666666666665</v>
      </c>
      <c r="T134" s="9">
        <f t="shared" si="15"/>
        <v>3.3333333333333335</v>
      </c>
      <c r="U134" s="9">
        <f t="shared" si="16"/>
        <v>2.3333333333333335</v>
      </c>
      <c r="V134" s="9">
        <f t="shared" si="17"/>
        <v>2.6666666666666665</v>
      </c>
      <c r="W134" s="9">
        <f t="shared" si="18"/>
        <v>12</v>
      </c>
      <c r="X134" s="9">
        <f t="shared" si="19"/>
        <v>3</v>
      </c>
      <c r="Y134" s="1">
        <f t="shared" si="20"/>
        <v>2</v>
      </c>
      <c r="Z134" s="1">
        <v>2</v>
      </c>
      <c r="AA134" s="2" t="s">
        <v>75</v>
      </c>
      <c r="AB134" s="10" t="s">
        <v>84</v>
      </c>
    </row>
    <row r="135" spans="1:28" x14ac:dyDescent="0.35">
      <c r="A135" s="1" t="s">
        <v>221</v>
      </c>
      <c r="B135" s="1">
        <v>31</v>
      </c>
      <c r="C135" s="1" t="str">
        <f>VLOOKUP(A135,[1]Export!$1:$1048576,6)</f>
        <v>Femenino</v>
      </c>
      <c r="D135" s="1" t="s">
        <v>230</v>
      </c>
      <c r="E135" s="1" t="s">
        <v>236</v>
      </c>
      <c r="F135" s="1">
        <v>0</v>
      </c>
      <c r="G135" s="1">
        <v>3</v>
      </c>
      <c r="H135" s="1">
        <v>2</v>
      </c>
      <c r="I135" s="1">
        <v>4</v>
      </c>
      <c r="J135" s="1">
        <v>3</v>
      </c>
      <c r="K135" s="1">
        <v>2</v>
      </c>
      <c r="L135" s="1">
        <v>2</v>
      </c>
      <c r="M135" s="1">
        <v>4</v>
      </c>
      <c r="N135" s="1">
        <v>2</v>
      </c>
      <c r="O135" s="1">
        <v>3</v>
      </c>
      <c r="P135" s="1">
        <v>2</v>
      </c>
      <c r="Q135" s="1">
        <v>3</v>
      </c>
      <c r="R135" s="1">
        <v>3</v>
      </c>
      <c r="S135" s="9">
        <f t="shared" si="14"/>
        <v>3</v>
      </c>
      <c r="T135" s="9">
        <f t="shared" si="15"/>
        <v>2.3333333333333335</v>
      </c>
      <c r="U135" s="9">
        <f t="shared" si="16"/>
        <v>3</v>
      </c>
      <c r="V135" s="9">
        <f t="shared" si="17"/>
        <v>2.6666666666666665</v>
      </c>
      <c r="W135" s="9">
        <f t="shared" si="18"/>
        <v>11</v>
      </c>
      <c r="X135" s="9">
        <f t="shared" si="19"/>
        <v>2.75</v>
      </c>
      <c r="Y135" s="1">
        <f t="shared" si="20"/>
        <v>1</v>
      </c>
      <c r="Z135" s="1">
        <v>2</v>
      </c>
      <c r="AA135" s="2">
        <v>3.5</v>
      </c>
      <c r="AB135" s="1" t="s">
        <v>83</v>
      </c>
    </row>
    <row r="136" spans="1:28" x14ac:dyDescent="0.35">
      <c r="A136" s="1" t="s">
        <v>222</v>
      </c>
      <c r="B136" s="1">
        <v>43</v>
      </c>
      <c r="C136" s="1" t="str">
        <f>VLOOKUP(A136,[1]Export!$1:$1048576,6)</f>
        <v>Masculino</v>
      </c>
      <c r="D136" s="1" t="s">
        <v>230</v>
      </c>
      <c r="E136" s="1" t="s">
        <v>236</v>
      </c>
      <c r="F136" s="1">
        <v>3</v>
      </c>
      <c r="G136" s="1">
        <v>3</v>
      </c>
      <c r="H136" s="1">
        <v>4</v>
      </c>
      <c r="I136" s="1">
        <v>4</v>
      </c>
      <c r="J136" s="1">
        <v>3</v>
      </c>
      <c r="K136" s="1">
        <v>2</v>
      </c>
      <c r="L136" s="1">
        <v>4</v>
      </c>
      <c r="M136" s="1">
        <v>4</v>
      </c>
      <c r="N136" s="1">
        <v>2</v>
      </c>
      <c r="O136" s="1">
        <v>3</v>
      </c>
      <c r="P136" s="1">
        <v>2</v>
      </c>
      <c r="Q136" s="1">
        <v>4</v>
      </c>
      <c r="R136" s="1">
        <v>3</v>
      </c>
      <c r="S136" s="9">
        <f t="shared" si="14"/>
        <v>3.6666666666666665</v>
      </c>
      <c r="T136" s="9">
        <f t="shared" si="15"/>
        <v>3</v>
      </c>
      <c r="U136" s="9">
        <f t="shared" si="16"/>
        <v>3</v>
      </c>
      <c r="V136" s="9">
        <f t="shared" si="17"/>
        <v>3</v>
      </c>
      <c r="W136" s="9">
        <f t="shared" si="18"/>
        <v>12.666666666666666</v>
      </c>
      <c r="X136" s="9">
        <f t="shared" si="19"/>
        <v>3.1666666666666665</v>
      </c>
      <c r="Y136" s="1">
        <f t="shared" si="20"/>
        <v>2</v>
      </c>
      <c r="Z136" s="1">
        <v>2</v>
      </c>
      <c r="AA136" s="2" t="s">
        <v>76</v>
      </c>
      <c r="AB136" s="10" t="s">
        <v>84</v>
      </c>
    </row>
    <row r="137" spans="1:28" x14ac:dyDescent="0.35">
      <c r="A137" s="1" t="s">
        <v>223</v>
      </c>
      <c r="B137" s="1">
        <v>31</v>
      </c>
      <c r="C137" s="1" t="str">
        <f>VLOOKUP(A137,[1]Export!$1:$1048576,6)</f>
        <v>Masculino</v>
      </c>
      <c r="D137" s="1" t="s">
        <v>231</v>
      </c>
      <c r="E137" s="1" t="s">
        <v>236</v>
      </c>
      <c r="F137" s="1">
        <v>4</v>
      </c>
      <c r="G137" s="1">
        <v>3</v>
      </c>
      <c r="H137" s="1">
        <v>4</v>
      </c>
      <c r="I137" s="1">
        <v>3</v>
      </c>
      <c r="J137" s="1">
        <v>4</v>
      </c>
      <c r="K137" s="1">
        <v>2</v>
      </c>
      <c r="L137" s="1">
        <v>2</v>
      </c>
      <c r="M137" s="1">
        <v>4</v>
      </c>
      <c r="N137" s="1">
        <v>3</v>
      </c>
      <c r="O137" s="1">
        <v>4</v>
      </c>
      <c r="P137" s="1">
        <v>2</v>
      </c>
      <c r="Q137" s="1">
        <v>3</v>
      </c>
      <c r="R137" s="1">
        <v>2</v>
      </c>
      <c r="S137" s="9">
        <f t="shared" si="14"/>
        <v>3.3333333333333335</v>
      </c>
      <c r="T137" s="9">
        <f t="shared" si="15"/>
        <v>2.6666666666666665</v>
      </c>
      <c r="U137" s="9">
        <f t="shared" si="16"/>
        <v>3.6666666666666665</v>
      </c>
      <c r="V137" s="9">
        <f t="shared" si="17"/>
        <v>2.3333333333333335</v>
      </c>
      <c r="W137" s="9">
        <f t="shared" si="18"/>
        <v>12</v>
      </c>
      <c r="X137" s="9">
        <f t="shared" si="19"/>
        <v>3</v>
      </c>
      <c r="Y137" s="1">
        <f t="shared" si="20"/>
        <v>2</v>
      </c>
      <c r="Z137" s="1">
        <v>2</v>
      </c>
      <c r="AA137" s="2" t="s">
        <v>51</v>
      </c>
      <c r="AB137" s="10" t="s">
        <v>84</v>
      </c>
    </row>
    <row r="138" spans="1:28" x14ac:dyDescent="0.35">
      <c r="A138" s="1" t="s">
        <v>224</v>
      </c>
      <c r="B138" s="1">
        <v>39</v>
      </c>
      <c r="C138" s="1" t="str">
        <f>VLOOKUP(A138,[1]Export!$1:$1048576,6)</f>
        <v>Masculino</v>
      </c>
      <c r="D138" s="1" t="s">
        <v>231</v>
      </c>
      <c r="E138" s="1" t="s">
        <v>238</v>
      </c>
      <c r="F138" s="1">
        <v>5</v>
      </c>
      <c r="G138" s="1">
        <v>1</v>
      </c>
      <c r="H138" s="1">
        <v>1</v>
      </c>
      <c r="I138" s="1">
        <v>2</v>
      </c>
      <c r="J138" s="1">
        <v>1</v>
      </c>
      <c r="K138" s="1">
        <v>2</v>
      </c>
      <c r="L138" s="1">
        <v>1</v>
      </c>
      <c r="M138" s="1">
        <v>2</v>
      </c>
      <c r="N138" s="1">
        <v>1</v>
      </c>
      <c r="O138" s="1">
        <v>2</v>
      </c>
      <c r="P138" s="1">
        <v>1</v>
      </c>
      <c r="Q138" s="1">
        <v>1</v>
      </c>
      <c r="R138" s="1">
        <v>1</v>
      </c>
      <c r="S138" s="9">
        <f t="shared" si="14"/>
        <v>1.3333333333333333</v>
      </c>
      <c r="T138" s="9">
        <f t="shared" si="15"/>
        <v>1.3333333333333333</v>
      </c>
      <c r="U138" s="9">
        <f t="shared" si="16"/>
        <v>1.6666666666666667</v>
      </c>
      <c r="V138" s="9">
        <f t="shared" si="17"/>
        <v>1</v>
      </c>
      <c r="W138" s="9">
        <f t="shared" si="18"/>
        <v>5.333333333333333</v>
      </c>
      <c r="X138" s="9">
        <f t="shared" si="19"/>
        <v>1.3333333333333333</v>
      </c>
      <c r="Y138" s="1">
        <f t="shared" si="20"/>
        <v>1</v>
      </c>
      <c r="Z138" s="1">
        <v>1</v>
      </c>
      <c r="AA138" s="2" t="s">
        <v>77</v>
      </c>
      <c r="AB138" s="1" t="s">
        <v>82</v>
      </c>
    </row>
  </sheetData>
  <autoFilter ref="A1:F138" xr:uid="{00000000-0001-0000-0000-000000000000}"/>
  <mergeCells count="21">
    <mergeCell ref="W1:W2"/>
    <mergeCell ref="X1:X2"/>
    <mergeCell ref="S1:S2"/>
    <mergeCell ref="T1:T2"/>
    <mergeCell ref="U1:U2"/>
    <mergeCell ref="V1:V2"/>
    <mergeCell ref="G1:I1"/>
    <mergeCell ref="J1:L1"/>
    <mergeCell ref="M1:O1"/>
    <mergeCell ref="P1:R1"/>
    <mergeCell ref="AD2:AE3"/>
    <mergeCell ref="AA1:AA2"/>
    <mergeCell ref="Z1:Z2"/>
    <mergeCell ref="AB1:AB2"/>
    <mergeCell ref="Y1:Y2"/>
    <mergeCell ref="A1:A2"/>
    <mergeCell ref="B1:B2"/>
    <mergeCell ref="C1:C2"/>
    <mergeCell ref="F1:F2"/>
    <mergeCell ref="D1:D2"/>
    <mergeCell ref="E1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8DD16CF2F0B84EA04B35F3F954FFF4" ma:contentTypeVersion="16" ma:contentTypeDescription="Create a new document." ma:contentTypeScope="" ma:versionID="b5ff8aa741d0c157863f2340fec059e5">
  <xsd:schema xmlns:xsd="http://www.w3.org/2001/XMLSchema" xmlns:xs="http://www.w3.org/2001/XMLSchema" xmlns:p="http://schemas.microsoft.com/office/2006/metadata/properties" xmlns:ns3="d384d5b9-f483-4d7c-913b-c556eb5b8e14" xmlns:ns4="44ae48c4-0fb2-4aad-bbd9-26602b4a7c07" targetNamespace="http://schemas.microsoft.com/office/2006/metadata/properties" ma:root="true" ma:fieldsID="23a822e491b980992e66e799fdefd800" ns3:_="" ns4:_="">
    <xsd:import namespace="d384d5b9-f483-4d7c-913b-c556eb5b8e14"/>
    <xsd:import namespace="44ae48c4-0fb2-4aad-bbd9-26602b4a7c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4d5b9-f483-4d7c-913b-c556eb5b8e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e48c4-0fb2-4aad-bbd9-26602b4a7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84d5b9-f483-4d7c-913b-c556eb5b8e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1294D6-9DD7-4118-9BFC-EE9353D337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84d5b9-f483-4d7c-913b-c556eb5b8e14"/>
    <ds:schemaRef ds:uri="44ae48c4-0fb2-4aad-bbd9-26602b4a7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19A397-A0AD-434D-8C73-5B1CEDD0C764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44ae48c4-0fb2-4aad-bbd9-26602b4a7c07"/>
    <ds:schemaRef ds:uri="d384d5b9-f483-4d7c-913b-c556eb5b8e14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E22FF42-69DC-4186-AF07-7CDA0C581B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Neira Dominic (Codelco-Gaby)</dc:creator>
  <cp:keywords/>
  <dc:description/>
  <cp:lastModifiedBy>Araya Neira Dominic (Codelco-Gaby)</cp:lastModifiedBy>
  <cp:revision/>
  <dcterms:created xsi:type="dcterms:W3CDTF">2026-03-31T14:07:21Z</dcterms:created>
  <dcterms:modified xsi:type="dcterms:W3CDTF">2026-03-31T18:20:52Z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0x010100318DD16CF2F0B84EA04B35F3F954FFF4</vt:lpwstr>
  </property>
</Properties>
</file>